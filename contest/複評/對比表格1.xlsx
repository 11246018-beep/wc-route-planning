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總體效能對比" sheetId="1" state="visible" r:id="rId1"/>
    <sheet xmlns:r="http://schemas.openxmlformats.org/officeDocument/2006/relationships" name="司機明細對比" sheetId="2" state="visible" r:id="rId2"/>
    <sheet xmlns:r="http://schemas.openxmlformats.org/officeDocument/2006/relationships" name="人工排程" sheetId="3" state="visible" r:id="rId3"/>
    <sheet xmlns:r="http://schemas.openxmlformats.org/officeDocument/2006/relationships" name="里程與工時對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\$#,##0"/>
    <numFmt numFmtId="167" formatCode="$#,##0"/>
  </numFmts>
  <fonts count="34">
    <font>
      <name val="新細明體"/>
      <family val="2"/>
      <color theme="1"/>
      <sz val="11"/>
      <scheme val="minor"/>
    </font>
    <font>
      <name val="Segoe UI"/>
      <b val="1"/>
      <color rgb="FF1F4E79"/>
      <sz val="16"/>
    </font>
    <font>
      <name val="Segoe UI"/>
      <b val="1"/>
      <color rgb="FFFFFFFF"/>
      <sz val="11"/>
    </font>
    <font>
      <name val="Segoe UI"/>
      <color rgb="FF000000"/>
      <sz val="11"/>
    </font>
    <font>
      <name val="Segoe UI"/>
      <b val="1"/>
      <color rgb="FF375623"/>
      <sz val="11"/>
    </font>
    <font>
      <name val="Segoe UI"/>
      <color rgb="FFC65911"/>
      <sz val="11"/>
    </font>
    <font>
      <name val="Segoe UI"/>
      <color rgb="FF375623"/>
      <sz val="11"/>
    </font>
    <font>
      <name val="Segoe UI"/>
      <b val="1"/>
      <color rgb="FF000000"/>
      <sz val="11"/>
    </font>
    <font>
      <name val="新細明體"/>
      <charset val="136"/>
      <family val="3"/>
      <sz val="9"/>
      <scheme val="minor"/>
    </font>
    <font>
      <name val="新細明體"/>
      <b val="1"/>
      <sz val="11"/>
    </font>
    <font>
      <name val="新細明體"/>
      <family val="2"/>
      <b val="1"/>
      <color theme="1"/>
      <sz val="11"/>
      <scheme val="minor"/>
    </font>
    <font>
      <name val="Segoe UI"/>
      <b val="1"/>
      <color rgb="FF1F4E79"/>
      <sz val="16"/>
    </font>
    <font>
      <name val="Segoe UI"/>
      <b val="1"/>
      <color rgb="FF1F4E79"/>
      <sz val="12"/>
    </font>
    <font>
      <name val="Segoe UI"/>
      <b val="1"/>
      <color rgb="FFFFFFFF"/>
      <sz val="10"/>
    </font>
    <font>
      <name val="Segoe UI"/>
      <color rgb="FF000000"/>
      <sz val="10"/>
    </font>
    <font>
      <name val="Segoe UI"/>
      <b val="1"/>
      <color rgb="FF375623"/>
      <sz val="10"/>
    </font>
    <font>
      <name val="Segoe UI"/>
      <color rgb="FF375623"/>
      <sz val="10"/>
    </font>
    <font>
      <name val="Segoe UI"/>
      <color rgb="FFC65911"/>
      <sz val="10"/>
    </font>
    <font>
      <name val="Segoe UI"/>
      <b val="1"/>
      <color rgb="FF000000"/>
      <sz val="10"/>
    </font>
    <font>
      <name val="Segoe UI"/>
      <b val="1"/>
      <color rgb="FF375623"/>
      <sz val="11"/>
    </font>
    <font>
      <name val="Segoe UI"/>
      <family val="2"/>
      <b val="1"/>
      <color rgb="FFFFFFFF"/>
      <sz val="10"/>
    </font>
    <font>
      <name val="新細明體"/>
      <family val="2"/>
      <b val="1"/>
      <color rgb="FFFFFFFF"/>
      <sz val="10"/>
    </font>
    <font>
      <name val="Microsoft JhengHei"/>
      <charset val="136"/>
      <family val="2"/>
      <color rgb="FF000000"/>
      <sz val="10"/>
    </font>
    <font>
      <name val="Segoe UI"/>
      <family val="2"/>
      <color rgb="FF000000"/>
      <sz val="10"/>
    </font>
    <font>
      <name val="Segoe UI"/>
      <charset val="136"/>
      <family val="2"/>
      <color rgb="FF000000"/>
      <sz val="10"/>
    </font>
    <font>
      <name val="Segoe UI"/>
      <b val="1"/>
      <color rgb="001F4E79"/>
      <sz val="16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375623"/>
      <sz val="10"/>
    </font>
    <font>
      <name val="Segoe UI"/>
      <b val="1"/>
      <color rgb="00375623"/>
      <sz val="11"/>
    </font>
    <font>
      <name val="Segoe UI"/>
      <color rgb="00375623"/>
      <sz val="10"/>
    </font>
    <font>
      <name val="Segoe UI"/>
      <color rgb="00C65911"/>
      <sz val="10"/>
    </font>
    <font>
      <name val="Segoe UI"/>
      <b val="1"/>
      <color rgb="00000000"/>
      <sz val="10"/>
    </font>
  </fonts>
  <fills count="2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F9999"/>
        <bgColor rgb="FFFF9999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FF99FF"/>
        <bgColor rgb="FFFF99FF"/>
      </patternFill>
    </fill>
    <fill>
      <patternFill patternType="solid">
        <fgColor rgb="FF99FFFF"/>
        <bgColor rgb="FF99FFFF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E0E0E0"/>
        <bgColor rgb="FFE0E0E0"/>
      </patternFill>
    </fill>
    <fill>
      <patternFill patternType="solid">
        <fgColor rgb="FFFFD700"/>
        <bgColor rgb="FFFFD700"/>
      </patternFill>
    </fill>
    <fill>
      <patternFill patternType="solid">
        <fgColor rgb="FFADFF2F"/>
        <bgColor rgb="FFADFF2F"/>
      </patternFill>
    </fill>
    <fill>
      <patternFill patternType="solid">
        <fgColor rgb="FF00BFFF"/>
        <bgColor rgb="FF00BFFF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0" fillId="5" borderId="2" pivotButton="0" quotePrefix="0" xfId="0"/>
    <xf numFmtId="164" fontId="7" fillId="5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top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1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164" fontId="14" fillId="0" borderId="4" applyAlignment="1" pivotButton="0" quotePrefix="0" xfId="0">
      <alignment horizontal="right" vertical="center"/>
    </xf>
    <xf numFmtId="165" fontId="15" fillId="22" borderId="4" applyAlignment="1" pivotButton="0" quotePrefix="0" xfId="0">
      <alignment horizontal="right" vertical="center"/>
    </xf>
    <xf numFmtId="0" fontId="14" fillId="0" borderId="4" applyAlignment="1" pivotButton="0" quotePrefix="0" xfId="0">
      <alignment horizontal="center" vertical="center"/>
    </xf>
    <xf numFmtId="164" fontId="16" fillId="22" borderId="4" applyAlignment="1" pivotButton="0" quotePrefix="0" xfId="0">
      <alignment horizontal="right" vertical="center"/>
    </xf>
    <xf numFmtId="165" fontId="16" fillId="22" borderId="4" applyAlignment="1" pivotButton="0" quotePrefix="0" xfId="0">
      <alignment horizontal="right" vertical="center"/>
    </xf>
    <xf numFmtId="164" fontId="17" fillId="23" borderId="4" applyAlignment="1" pivotButton="0" quotePrefix="0" xfId="0">
      <alignment horizontal="right" vertical="center"/>
    </xf>
    <xf numFmtId="165" fontId="17" fillId="23" borderId="4" applyAlignment="1" pivotButton="0" quotePrefix="0" xfId="0">
      <alignment horizontal="right" vertical="center"/>
    </xf>
    <xf numFmtId="0" fontId="0" fillId="24" borderId="5" pivotButton="0" quotePrefix="0" xfId="0"/>
    <xf numFmtId="0" fontId="18" fillId="24" borderId="5" applyAlignment="1" pivotButton="0" quotePrefix="0" xfId="0">
      <alignment horizontal="center" vertical="center"/>
    </xf>
    <xf numFmtId="164" fontId="18" fillId="24" borderId="5" applyAlignment="1" pivotButton="0" quotePrefix="0" xfId="0">
      <alignment horizontal="right" vertical="center"/>
    </xf>
    <xf numFmtId="165" fontId="15" fillId="22" borderId="5" applyAlignment="1" pivotButton="0" quotePrefix="0" xfId="0">
      <alignment horizontal="right" vertical="center"/>
    </xf>
    <xf numFmtId="49" fontId="14" fillId="0" borderId="4" applyAlignment="1" pivotButton="0" quotePrefix="0" xfId="0">
      <alignment horizontal="right" vertical="center"/>
    </xf>
    <xf numFmtId="164" fontId="15" fillId="22" borderId="4" applyAlignment="1" pivotButton="0" quotePrefix="0" xfId="0">
      <alignment horizontal="right" vertical="center"/>
    </xf>
    <xf numFmtId="166" fontId="15" fillId="22" borderId="4" applyAlignment="1" pivotButton="0" quotePrefix="0" xfId="0">
      <alignment horizontal="right" vertical="center"/>
    </xf>
    <xf numFmtId="166" fontId="19" fillId="22" borderId="4" applyAlignment="1" pivotButton="0" quotePrefix="0" xfId="0">
      <alignment horizontal="right" vertical="center"/>
    </xf>
    <xf numFmtId="3" fontId="16" fillId="22" borderId="4" applyAlignment="1" pivotButton="0" quotePrefix="0" xfId="0">
      <alignment horizontal="right" vertical="center"/>
    </xf>
    <xf numFmtId="3" fontId="18" fillId="24" borderId="5" applyAlignment="1" pivotButton="0" quotePrefix="0" xfId="0">
      <alignment horizontal="right" vertical="center"/>
    </xf>
    <xf numFmtId="3" fontId="15" fillId="22" borderId="5" applyAlignment="1" pivotButton="0" quotePrefix="0" xfId="0">
      <alignment horizontal="right" vertical="center"/>
    </xf>
    <xf numFmtId="0" fontId="20" fillId="21" borderId="6" applyAlignment="1" pivotButton="0" quotePrefix="0" xfId="0">
      <alignment horizontal="center" vertical="center"/>
    </xf>
    <xf numFmtId="0" fontId="24" fillId="0" borderId="4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25" fillId="0" borderId="0" pivotButton="0" quotePrefix="0" xfId="0"/>
    <xf numFmtId="0" fontId="26" fillId="0" borderId="0" pivotButton="0" quotePrefix="0" xfId="0"/>
    <xf numFmtId="0" fontId="27" fillId="25" borderId="7" applyAlignment="1" pivotButton="0" quotePrefix="0" xfId="0">
      <alignment horizontal="center" vertical="center"/>
    </xf>
    <xf numFmtId="0" fontId="28" fillId="0" borderId="7" applyAlignment="1" pivotButton="0" quotePrefix="0" xfId="0">
      <alignment horizontal="left" vertical="center"/>
    </xf>
    <xf numFmtId="164" fontId="28" fillId="0" borderId="7" applyAlignment="1" pivotButton="0" quotePrefix="0" xfId="0">
      <alignment horizontal="right" vertical="center"/>
    </xf>
    <xf numFmtId="165" fontId="29" fillId="26" borderId="7" applyAlignment="1" pivotButton="0" quotePrefix="0" xfId="0">
      <alignment horizontal="right" vertical="center"/>
    </xf>
    <xf numFmtId="49" fontId="28" fillId="0" borderId="7" applyAlignment="1" pivotButton="0" quotePrefix="0" xfId="0">
      <alignment horizontal="right" vertical="center"/>
    </xf>
    <xf numFmtId="164" fontId="29" fillId="26" borderId="7" applyAlignment="1" pivotButton="0" quotePrefix="0" xfId="0">
      <alignment horizontal="right" vertical="center"/>
    </xf>
    <xf numFmtId="167" fontId="29" fillId="26" borderId="7" applyAlignment="1" pivotButton="0" quotePrefix="0" xfId="0">
      <alignment horizontal="right" vertical="center"/>
    </xf>
    <xf numFmtId="167" fontId="30" fillId="26" borderId="7" applyAlignment="1" pivotButton="0" quotePrefix="0" xfId="0">
      <alignment horizontal="right" vertical="center"/>
    </xf>
    <xf numFmtId="0" fontId="28" fillId="0" borderId="7" applyAlignment="1" pivotButton="0" quotePrefix="0" xfId="0">
      <alignment horizontal="center" vertical="center"/>
    </xf>
    <xf numFmtId="164" fontId="31" fillId="26" borderId="7" applyAlignment="1" pivotButton="0" quotePrefix="0" xfId="0">
      <alignment horizontal="right" vertical="center"/>
    </xf>
    <xf numFmtId="165" fontId="31" fillId="26" borderId="7" applyAlignment="1" pivotButton="0" quotePrefix="0" xfId="0">
      <alignment horizontal="right" vertical="center"/>
    </xf>
    <xf numFmtId="164" fontId="32" fillId="27" borderId="7" applyAlignment="1" pivotButton="0" quotePrefix="0" xfId="0">
      <alignment horizontal="right" vertical="center"/>
    </xf>
    <xf numFmtId="165" fontId="32" fillId="27" borderId="7" applyAlignment="1" pivotButton="0" quotePrefix="0" xfId="0">
      <alignment horizontal="right" vertical="center"/>
    </xf>
    <xf numFmtId="3" fontId="31" fillId="26" borderId="7" applyAlignment="1" pivotButton="0" quotePrefix="0" xfId="0">
      <alignment horizontal="right" vertical="center"/>
    </xf>
    <xf numFmtId="0" fontId="0" fillId="28" borderId="8" pivotButton="0" quotePrefix="0" xfId="0"/>
    <xf numFmtId="0" fontId="33" fillId="28" borderId="8" applyAlignment="1" pivotButton="0" quotePrefix="0" xfId="0">
      <alignment horizontal="center" vertical="center"/>
    </xf>
    <xf numFmtId="164" fontId="33" fillId="28" borderId="8" applyAlignment="1" pivotButton="0" quotePrefix="0" xfId="0">
      <alignment horizontal="right" vertical="center"/>
    </xf>
    <xf numFmtId="165" fontId="29" fillId="26" borderId="8" applyAlignment="1" pivotButton="0" quotePrefix="0" xfId="0">
      <alignment horizontal="right" vertical="center"/>
    </xf>
    <xf numFmtId="3" fontId="33" fillId="28" borderId="8" applyAlignment="1" pivotButton="0" quotePrefix="0" xfId="0">
      <alignment horizontal="right" vertical="center"/>
    </xf>
    <xf numFmtId="3" fontId="29" fillId="26" borderId="8" applyAlignment="1" pivotButton="0" quotePrefix="0" xfId="0">
      <alignment horizontal="right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C7" sqref="C7"/>
    </sheetView>
  </sheetViews>
  <sheetFormatPr baseColWidth="8" defaultRowHeight="15"/>
  <cols>
    <col width="27.5" customWidth="1" min="2" max="2"/>
    <col width="42.5" customWidth="1" min="3" max="3"/>
    <col width="45" customWidth="1" min="4" max="4"/>
    <col width="20" customWidth="1" min="5" max="5"/>
    <col width="18" customWidth="1" min="6" max="6"/>
  </cols>
  <sheetData>
    <row r="2" ht="30" customHeight="1">
      <c r="B2" s="1" t="inlineStr">
        <is>
          <t>人工排程 vs 智慧派工 - 總體效能對比</t>
        </is>
      </c>
    </row>
    <row r="4" ht="25.05" customHeight="1">
      <c r="B4" s="2" t="inlineStr">
        <is>
          <t>指標項目</t>
        </is>
      </c>
      <c r="C4" s="2" t="inlineStr">
        <is>
          <t>人工排程</t>
        </is>
      </c>
      <c r="D4" s="2" t="inlineStr">
        <is>
          <t>智慧派工</t>
        </is>
      </c>
      <c r="E4" s="2" t="inlineStr">
        <is>
          <t>節省量 / 提升</t>
        </is>
      </c>
      <c r="F4" s="2" t="inlineStr">
        <is>
          <t>幅度 (%)</t>
        </is>
      </c>
    </row>
    <row r="5" ht="19.95" customHeight="1">
      <c r="B5" s="3" t="inlineStr">
        <is>
          <t>總出勤工時 (分鐘)</t>
        </is>
      </c>
      <c r="C5" s="60" t="n">
        <v>40803.7</v>
      </c>
      <c r="D5" s="60" t="n">
        <v>36713.44</v>
      </c>
      <c r="E5" s="60">
        <f>C5-D5</f>
        <v/>
      </c>
      <c r="F5" s="61">
        <f>E5/C5</f>
        <v/>
      </c>
    </row>
    <row r="6" ht="19.95" customHeight="1">
      <c r="B6" s="3" t="inlineStr">
        <is>
          <t>總出勤工時 (小時)</t>
        </is>
      </c>
      <c r="C6" s="60" t="n">
        <v>680.0616666666666</v>
      </c>
      <c r="D6" s="60" t="n">
        <v>611.8906666666666</v>
      </c>
      <c r="E6" s="60">
        <f>C6-D6</f>
        <v/>
      </c>
      <c r="F6" s="61">
        <f>E6/C6</f>
        <v/>
      </c>
    </row>
    <row r="7" ht="19.95" customHeight="1">
      <c r="B7" s="3" t="inlineStr">
        <is>
          <t>總派工出勤天數 (天)</t>
        </is>
      </c>
      <c r="C7" s="6" t="n">
        <v>84</v>
      </c>
      <c r="D7" s="6" t="n">
        <v>78</v>
      </c>
      <c r="E7" s="6">
        <f>C7-D7</f>
        <v/>
      </c>
      <c r="F7" s="61">
        <f>E7/C7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9"/>
  <sheetViews>
    <sheetView topLeftCell="A3" workbookViewId="0">
      <selection activeCell="C19" sqref="C19"/>
    </sheetView>
  </sheetViews>
  <sheetFormatPr baseColWidth="8" defaultRowHeight="15"/>
  <cols>
    <col width="12" customWidth="1" min="2" max="2"/>
    <col width="14" customWidth="1" min="3" max="3"/>
    <col width="12" customWidth="1" min="4" max="5"/>
    <col width="16" customWidth="1" min="6" max="6"/>
    <col width="24" customWidth="1" min="7" max="7"/>
    <col width="12" customWidth="1" min="8" max="8"/>
    <col width="16" customWidth="1" min="9" max="9"/>
    <col width="24" customWidth="1" min="10" max="10"/>
    <col width="16" customWidth="1" min="11" max="12"/>
  </cols>
  <sheetData>
    <row r="2" ht="30" customHeight="1">
      <c r="B2" s="1" t="inlineStr">
        <is>
          <t>司機個人每周用時與效率對比</t>
        </is>
      </c>
    </row>
    <row r="4" ht="25.05" customHeight="1">
      <c r="B4" s="2" t="inlineStr">
        <is>
          <t>序號</t>
        </is>
      </c>
      <c r="C4" s="2" t="inlineStr">
        <is>
          <t>所屬站點</t>
        </is>
      </c>
      <c r="D4" s="2" t="inlineStr">
        <is>
          <t>司機別名</t>
        </is>
      </c>
      <c r="E4" s="2" t="inlineStr">
        <is>
          <t>人工代號</t>
        </is>
      </c>
      <c r="F4" s="2" t="inlineStr">
        <is>
          <t>人工周用時(分)</t>
        </is>
      </c>
      <c r="G4" s="2" t="inlineStr">
        <is>
          <t>人工天數</t>
        </is>
      </c>
      <c r="H4" s="2" t="inlineStr">
        <is>
          <t>智慧代號</t>
        </is>
      </c>
      <c r="I4" s="2" t="inlineStr">
        <is>
          <t>智慧周用時(分)</t>
        </is>
      </c>
      <c r="J4" s="2" t="inlineStr">
        <is>
          <t>智慧天數</t>
        </is>
      </c>
      <c r="K4" s="2" t="inlineStr">
        <is>
          <t>節省時間(分)</t>
        </is>
      </c>
      <c r="L4" s="2" t="inlineStr">
        <is>
          <t>效率提升 (%)</t>
        </is>
      </c>
    </row>
    <row r="5" ht="19.95" customHeight="1">
      <c r="B5" s="7" t="n">
        <v>1</v>
      </c>
      <c r="C5" s="7" t="inlineStr">
        <is>
          <t>平鎮</t>
        </is>
      </c>
      <c r="D5" s="7" t="inlineStr">
        <is>
          <t>平鎮1</t>
        </is>
      </c>
      <c r="E5" s="7" t="inlineStr">
        <is>
          <t>S01</t>
        </is>
      </c>
      <c r="F5" s="60" t="n">
        <v>2849.4</v>
      </c>
      <c r="G5" s="8" t="n">
        <v>6</v>
      </c>
      <c r="H5" s="7" t="inlineStr">
        <is>
          <t>P01</t>
        </is>
      </c>
      <c r="I5" s="60" t="n">
        <v>3071.72</v>
      </c>
      <c r="J5" s="8" t="n">
        <v>6</v>
      </c>
      <c r="K5" s="62">
        <f>F5-I5</f>
        <v/>
      </c>
      <c r="L5" s="63">
        <f>K5/F5</f>
        <v/>
      </c>
    </row>
    <row r="6" ht="19.95" customHeight="1">
      <c r="B6" s="7" t="n">
        <v>2</v>
      </c>
      <c r="C6" s="7" t="inlineStr">
        <is>
          <t>平鎮</t>
        </is>
      </c>
      <c r="D6" s="7" t="inlineStr">
        <is>
          <t>平鎮2</t>
        </is>
      </c>
      <c r="E6" s="7" t="inlineStr">
        <is>
          <t>S02</t>
        </is>
      </c>
      <c r="F6" s="60" t="n">
        <v>3001.4</v>
      </c>
      <c r="G6" s="8" t="n">
        <v>6</v>
      </c>
      <c r="H6" s="7" t="inlineStr">
        <is>
          <t>P02</t>
        </is>
      </c>
      <c r="I6" s="60" t="n">
        <v>2562.22</v>
      </c>
      <c r="J6" s="8" t="n">
        <v>5</v>
      </c>
      <c r="K6" s="64">
        <f>F6-I6</f>
        <v/>
      </c>
      <c r="L6" s="65">
        <f>K6/F6</f>
        <v/>
      </c>
    </row>
    <row r="7" ht="19.95" customHeight="1">
      <c r="B7" s="7" t="n">
        <v>3</v>
      </c>
      <c r="C7" s="7" t="inlineStr">
        <is>
          <t>平鎮</t>
        </is>
      </c>
      <c r="D7" s="7" t="inlineStr">
        <is>
          <t>平鎮3</t>
        </is>
      </c>
      <c r="E7" s="7" t="inlineStr">
        <is>
          <t>S03</t>
        </is>
      </c>
      <c r="F7" s="60" t="n">
        <v>2675.3</v>
      </c>
      <c r="G7" s="8" t="n">
        <v>6</v>
      </c>
      <c r="H7" s="7" t="inlineStr">
        <is>
          <t>P03</t>
        </is>
      </c>
      <c r="I7" s="60" t="n">
        <v>3037.01</v>
      </c>
      <c r="J7" s="8" t="n">
        <v>6</v>
      </c>
      <c r="K7" s="62">
        <f>F7-I7</f>
        <v/>
      </c>
      <c r="L7" s="63">
        <f>K7/F7</f>
        <v/>
      </c>
    </row>
    <row r="8" ht="19.95" customHeight="1">
      <c r="B8" s="7" t="n">
        <v>4</v>
      </c>
      <c r="C8" s="7" t="inlineStr">
        <is>
          <t>平鎮</t>
        </is>
      </c>
      <c r="D8" s="7" t="inlineStr">
        <is>
          <t>平鎮4</t>
        </is>
      </c>
      <c r="E8" s="7" t="inlineStr">
        <is>
          <t>S04</t>
        </is>
      </c>
      <c r="F8" s="60" t="n">
        <v>2702.7</v>
      </c>
      <c r="G8" s="8" t="n">
        <v>6</v>
      </c>
      <c r="H8" s="7" t="inlineStr">
        <is>
          <t>P04</t>
        </is>
      </c>
      <c r="I8" s="60" t="n">
        <v>3018.29</v>
      </c>
      <c r="J8" s="8" t="n">
        <v>6</v>
      </c>
      <c r="K8" s="62">
        <f>F8-I8</f>
        <v/>
      </c>
      <c r="L8" s="63">
        <f>K8/F8</f>
        <v/>
      </c>
    </row>
    <row r="9" ht="19.95" customHeight="1">
      <c r="B9" s="7" t="n">
        <v>5</v>
      </c>
      <c r="C9" s="7" t="inlineStr">
        <is>
          <t>平鎮</t>
        </is>
      </c>
      <c r="D9" s="7" t="inlineStr">
        <is>
          <t>平鎮5</t>
        </is>
      </c>
      <c r="E9" s="7" t="inlineStr">
        <is>
          <t>S05</t>
        </is>
      </c>
      <c r="F9" s="60" t="n">
        <v>3122.2</v>
      </c>
      <c r="G9" s="8" t="n">
        <v>6</v>
      </c>
      <c r="H9" s="7" t="inlineStr">
        <is>
          <t>P05</t>
        </is>
      </c>
      <c r="I9" s="60" t="n">
        <v>2535.61</v>
      </c>
      <c r="J9" s="8" t="n">
        <v>6</v>
      </c>
      <c r="K9" s="64">
        <f>F9-I9</f>
        <v/>
      </c>
      <c r="L9" s="65">
        <f>K9/F9</f>
        <v/>
      </c>
    </row>
    <row r="10" ht="19.95" customHeight="1">
      <c r="B10" s="7" t="n">
        <v>6</v>
      </c>
      <c r="C10" s="7" t="inlineStr">
        <is>
          <t>平鎮</t>
        </is>
      </c>
      <c r="D10" s="7" t="inlineStr">
        <is>
          <t>平鎮6</t>
        </is>
      </c>
      <c r="E10" s="7" t="inlineStr">
        <is>
          <t>S06</t>
        </is>
      </c>
      <c r="F10" s="60" t="n">
        <v>3109.9</v>
      </c>
      <c r="G10" s="8" t="n">
        <v>6</v>
      </c>
      <c r="H10" s="7" t="inlineStr">
        <is>
          <t>P06</t>
        </is>
      </c>
      <c r="I10" s="60" t="n">
        <v>2561.77</v>
      </c>
      <c r="J10" s="8" t="n">
        <v>5</v>
      </c>
      <c r="K10" s="64">
        <f>F10-I10</f>
        <v/>
      </c>
      <c r="L10" s="65">
        <f>K10/F10</f>
        <v/>
      </c>
    </row>
    <row r="11" ht="19.95" customHeight="1">
      <c r="B11" s="7" t="n">
        <v>7</v>
      </c>
      <c r="C11" s="7" t="inlineStr">
        <is>
          <t>平鎮</t>
        </is>
      </c>
      <c r="D11" s="7" t="inlineStr">
        <is>
          <t>平鎮7</t>
        </is>
      </c>
      <c r="E11" s="7" t="inlineStr">
        <is>
          <t>S07</t>
        </is>
      </c>
      <c r="F11" s="60" t="n">
        <v>3100.9</v>
      </c>
      <c r="G11" s="8" t="n">
        <v>6</v>
      </c>
      <c r="H11" s="7" t="inlineStr">
        <is>
          <t>P07</t>
        </is>
      </c>
      <c r="I11" s="60" t="n">
        <v>2612.24</v>
      </c>
      <c r="J11" s="8" t="n">
        <v>6</v>
      </c>
      <c r="K11" s="64">
        <f>F11-I11</f>
        <v/>
      </c>
      <c r="L11" s="65">
        <f>K11/F11</f>
        <v/>
      </c>
    </row>
    <row r="12" ht="19.95" customHeight="1">
      <c r="B12" s="7" t="n">
        <v>8</v>
      </c>
      <c r="C12" s="7" t="inlineStr">
        <is>
          <t>平鎮</t>
        </is>
      </c>
      <c r="D12" s="7" t="inlineStr">
        <is>
          <t>平鎮8</t>
        </is>
      </c>
      <c r="E12" s="7" t="inlineStr">
        <is>
          <t>S08</t>
        </is>
      </c>
      <c r="F12" s="60" t="n">
        <v>2992.9</v>
      </c>
      <c r="G12" s="8" t="n">
        <v>6</v>
      </c>
      <c r="H12" s="7" t="inlineStr">
        <is>
          <t>P08</t>
        </is>
      </c>
      <c r="I12" s="60" t="n">
        <v>2880.17</v>
      </c>
      <c r="J12" s="8" t="n">
        <v>6</v>
      </c>
      <c r="K12" s="64">
        <f>F12-I12</f>
        <v/>
      </c>
      <c r="L12" s="65">
        <f>K12/F12</f>
        <v/>
      </c>
    </row>
    <row r="13" ht="19.95" customHeight="1">
      <c r="B13" s="7" t="n">
        <v>9</v>
      </c>
      <c r="C13" s="7" t="inlineStr">
        <is>
          <t>平鎮</t>
        </is>
      </c>
      <c r="D13" s="7" t="inlineStr">
        <is>
          <t>平鎮9</t>
        </is>
      </c>
      <c r="E13" s="7" t="inlineStr">
        <is>
          <t>S09</t>
        </is>
      </c>
      <c r="F13" s="60" t="n">
        <v>2907</v>
      </c>
      <c r="G13" s="8" t="n">
        <v>6</v>
      </c>
      <c r="H13" s="7" t="inlineStr">
        <is>
          <t>P09</t>
        </is>
      </c>
      <c r="I13" s="60" t="n">
        <v>2588.95</v>
      </c>
      <c r="J13" s="8" t="n">
        <v>6</v>
      </c>
      <c r="K13" s="64">
        <f>F13-I13</f>
        <v/>
      </c>
      <c r="L13" s="65">
        <f>K13/F13</f>
        <v/>
      </c>
    </row>
    <row r="14" ht="19.95" customHeight="1">
      <c r="B14" s="7" t="n">
        <v>10</v>
      </c>
      <c r="C14" s="7" t="inlineStr">
        <is>
          <t>平鎮</t>
        </is>
      </c>
      <c r="D14" s="7" t="inlineStr">
        <is>
          <t>平鎮10</t>
        </is>
      </c>
      <c r="E14" s="7" t="inlineStr">
        <is>
          <t>S10</t>
        </is>
      </c>
      <c r="F14" s="60" t="n">
        <v>2872.4</v>
      </c>
      <c r="G14" s="8" t="n">
        <v>6</v>
      </c>
      <c r="H14" s="7" t="inlineStr">
        <is>
          <t>P10</t>
        </is>
      </c>
      <c r="I14" s="60" t="n">
        <v>2553.53</v>
      </c>
      <c r="J14" s="8" t="n">
        <v>5</v>
      </c>
      <c r="K14" s="64">
        <f>F14-I14</f>
        <v/>
      </c>
      <c r="L14" s="65">
        <f>K14/F14</f>
        <v/>
      </c>
    </row>
    <row r="15" ht="19.95" customHeight="1">
      <c r="B15" s="7" t="n">
        <v>11</v>
      </c>
      <c r="C15" s="7" t="inlineStr">
        <is>
          <t>平鎮</t>
        </is>
      </c>
      <c r="D15" s="7" t="inlineStr">
        <is>
          <t>平鎮11</t>
        </is>
      </c>
      <c r="E15" s="7" t="inlineStr">
        <is>
          <t>S11</t>
        </is>
      </c>
      <c r="F15" s="60" t="n">
        <v>3063.9</v>
      </c>
      <c r="G15" s="8" t="n">
        <v>6</v>
      </c>
      <c r="H15" s="7" t="inlineStr">
        <is>
          <t>P11</t>
        </is>
      </c>
      <c r="I15" s="60" t="n">
        <v>3063.85</v>
      </c>
      <c r="J15" s="8" t="n">
        <v>6</v>
      </c>
      <c r="K15" s="64">
        <f>F15-I15</f>
        <v/>
      </c>
      <c r="L15" s="65">
        <f>K15/F15</f>
        <v/>
      </c>
    </row>
    <row r="16" ht="19.95" customHeight="1">
      <c r="B16" s="7" t="n">
        <v>12</v>
      </c>
      <c r="C16" s="7" t="inlineStr">
        <is>
          <t>平鎮</t>
        </is>
      </c>
      <c r="D16" s="7" t="inlineStr">
        <is>
          <t>平鎮12</t>
        </is>
      </c>
      <c r="E16" s="7" t="inlineStr">
        <is>
          <t>S12</t>
        </is>
      </c>
      <c r="F16" s="60" t="n">
        <v>3061.6</v>
      </c>
      <c r="G16" s="8" t="n">
        <v>6</v>
      </c>
      <c r="H16" s="7" t="inlineStr">
        <is>
          <t>P12</t>
        </is>
      </c>
      <c r="I16" s="60" t="n">
        <v>2622.77</v>
      </c>
      <c r="J16" s="8" t="n">
        <v>6</v>
      </c>
      <c r="K16" s="64">
        <f>F16-I16</f>
        <v/>
      </c>
      <c r="L16" s="65">
        <f>K16/F16</f>
        <v/>
      </c>
    </row>
    <row r="17" ht="19.95" customHeight="1">
      <c r="B17" s="7" t="n">
        <v>13</v>
      </c>
      <c r="C17" s="7" t="inlineStr">
        <is>
          <t>五股</t>
        </is>
      </c>
      <c r="D17" s="7" t="inlineStr">
        <is>
          <t>五股1</t>
        </is>
      </c>
      <c r="E17" s="7" t="inlineStr">
        <is>
          <t>S13</t>
        </is>
      </c>
      <c r="F17" s="60" t="n">
        <v>2680.6</v>
      </c>
      <c r="G17" s="8" t="n">
        <v>6</v>
      </c>
      <c r="H17" s="7" t="inlineStr">
        <is>
          <t>W01</t>
        </is>
      </c>
      <c r="I17" s="60" t="n">
        <v>1944.06</v>
      </c>
      <c r="J17" s="8" t="n">
        <v>5</v>
      </c>
      <c r="K17" s="64">
        <f>F17-I17</f>
        <v/>
      </c>
      <c r="L17" s="65">
        <f>K17/F17</f>
        <v/>
      </c>
    </row>
    <row r="18" ht="19.95" customHeight="1">
      <c r="B18" s="7" t="n">
        <v>14</v>
      </c>
      <c r="C18" s="7" t="inlineStr">
        <is>
          <t>五股</t>
        </is>
      </c>
      <c r="D18" s="7" t="inlineStr">
        <is>
          <t>五股2</t>
        </is>
      </c>
      <c r="E18" s="7" t="inlineStr">
        <is>
          <t>S14</t>
        </is>
      </c>
      <c r="F18" s="60" t="n">
        <v>2663.5</v>
      </c>
      <c r="G18" s="8" t="n">
        <v>6</v>
      </c>
      <c r="H18" s="7" t="inlineStr">
        <is>
          <t>W02</t>
        </is>
      </c>
      <c r="I18" s="60" t="n">
        <v>1661.25</v>
      </c>
      <c r="J18" s="8" t="n">
        <v>4</v>
      </c>
      <c r="K18" s="64">
        <f>F18-I18</f>
        <v/>
      </c>
      <c r="L18" s="65">
        <f>K18/F18</f>
        <v/>
      </c>
    </row>
    <row r="19" ht="22.05" customHeight="1">
      <c r="B19" s="13" t="n"/>
      <c r="C19" s="14" t="inlineStr">
        <is>
          <t>總計 / 平均</t>
        </is>
      </c>
      <c r="D19" s="15" t="n"/>
      <c r="E19" s="15" t="n"/>
      <c r="F19" s="66">
        <f>SUM(F5:F18)</f>
        <v/>
      </c>
      <c r="G19" s="17">
        <f>SUM(G5:G18)</f>
        <v/>
      </c>
      <c r="H19" s="15" t="n"/>
      <c r="I19" s="66">
        <f>SUM(I5:I18)</f>
        <v/>
      </c>
      <c r="J19" s="17">
        <f>SUM(J5:J18)</f>
        <v/>
      </c>
      <c r="K19" s="66">
        <f>F19-I19</f>
        <v/>
      </c>
      <c r="L19" s="67">
        <f>K19/F19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81"/>
  <sheetViews>
    <sheetView topLeftCell="A2132" workbookViewId="0">
      <selection activeCell="H2146" sqref="H2146"/>
    </sheetView>
  </sheetViews>
  <sheetFormatPr baseColWidth="8" defaultRowHeight="15"/>
  <sheetData>
    <row r="1">
      <c r="A1" s="19" t="inlineStr">
        <is>
          <t>日程(Day)</t>
        </is>
      </c>
      <c r="B1" s="19" t="inlineStr">
        <is>
          <t>員工代號</t>
        </is>
      </c>
      <c r="C1" s="19" t="inlineStr">
        <is>
          <t>工作區域</t>
        </is>
      </c>
      <c r="D1" s="19" t="inlineStr">
        <is>
          <t>順序</t>
        </is>
      </c>
      <c r="E1" s="19" t="inlineStr">
        <is>
          <t>任務ID</t>
        </is>
      </c>
      <c r="F1" s="19" t="inlineStr">
        <is>
          <t>地址</t>
        </is>
      </c>
      <c r="G1" s="19" t="inlineStr">
        <is>
          <t>緯度</t>
        </is>
      </c>
      <c r="H1" s="19" t="inlineStr">
        <is>
          <t>經度</t>
        </is>
      </c>
      <c r="I1" s="19" t="inlineStr">
        <is>
          <t>維護時間(分)</t>
        </is>
      </c>
      <c r="J1" s="19" t="inlineStr">
        <is>
          <t>預估車程(分)</t>
        </is>
      </c>
      <c r="K1" s="19" t="inlineStr">
        <is>
          <t>累計工時(分)</t>
        </is>
      </c>
      <c r="L1" s="19" t="inlineStr">
        <is>
          <t>任務屬性</t>
        </is>
      </c>
    </row>
    <row r="2">
      <c r="A2" t="n">
        <v>1</v>
      </c>
      <c r="B2" s="20" t="inlineStr">
        <is>
          <t>S01</t>
        </is>
      </c>
      <c r="C2" t="inlineStr">
        <is>
          <t>PZ-A</t>
        </is>
      </c>
      <c r="D2" t="n">
        <v>1</v>
      </c>
      <c r="E2" t="inlineStr">
        <is>
          <t>H1091</t>
        </is>
      </c>
      <c r="F2" t="inlineStr">
        <is>
          <t>桃園市觀音區福恩路一段166號-岳鼎天翔</t>
        </is>
      </c>
      <c r="G2" t="n">
        <v>24.975861</v>
      </c>
      <c r="H2" t="n">
        <v>121.159694</v>
      </c>
      <c r="I2" t="n">
        <v>8</v>
      </c>
      <c r="J2" t="n">
        <v>10.2</v>
      </c>
      <c r="K2" t="n">
        <v>18.2</v>
      </c>
      <c r="L2" t="inlineStr">
        <is>
          <t>Primary</t>
        </is>
      </c>
    </row>
    <row r="3">
      <c r="A3" t="n">
        <v>1</v>
      </c>
      <c r="B3" s="20" t="inlineStr">
        <is>
          <t>S01</t>
        </is>
      </c>
      <c r="C3" t="inlineStr">
        <is>
          <t>PZ-A</t>
        </is>
      </c>
      <c r="D3" t="n">
        <v>2</v>
      </c>
      <c r="E3" t="inlineStr">
        <is>
          <t>H1059</t>
        </is>
      </c>
      <c r="F3" t="inlineStr">
        <is>
          <t>桃園市觀音區崙坪五路208巷口</t>
        </is>
      </c>
      <c r="G3" t="n">
        <v>24.985214</v>
      </c>
      <c r="H3" t="n">
        <v>121.160767</v>
      </c>
      <c r="I3" t="n">
        <v>8</v>
      </c>
      <c r="J3" t="n">
        <v>3</v>
      </c>
      <c r="K3" t="n">
        <v>29.2</v>
      </c>
      <c r="L3" t="inlineStr">
        <is>
          <t>Primary</t>
        </is>
      </c>
    </row>
    <row r="4">
      <c r="A4" t="n">
        <v>1</v>
      </c>
      <c r="B4" s="20" t="inlineStr">
        <is>
          <t>S01</t>
        </is>
      </c>
      <c r="C4" t="inlineStr">
        <is>
          <t>PZ-A</t>
        </is>
      </c>
      <c r="D4" t="n">
        <v>3</v>
      </c>
      <c r="E4" t="inlineStr">
        <is>
          <t>H1039</t>
        </is>
      </c>
      <c r="F4" t="inlineStr">
        <is>
          <t>桃園市觀音區忠富路上大段108巷口</t>
        </is>
      </c>
      <c r="G4" t="n">
        <v>24.985705</v>
      </c>
      <c r="H4" t="n">
        <v>121.154439</v>
      </c>
      <c r="I4" t="n">
        <v>8</v>
      </c>
      <c r="J4" t="n">
        <v>3</v>
      </c>
      <c r="K4" t="n">
        <v>40.2</v>
      </c>
      <c r="L4" t="inlineStr">
        <is>
          <t>Primary</t>
        </is>
      </c>
    </row>
    <row r="5">
      <c r="A5" t="n">
        <v>1</v>
      </c>
      <c r="B5" s="20" t="inlineStr">
        <is>
          <t>S01</t>
        </is>
      </c>
      <c r="C5" t="inlineStr">
        <is>
          <t>PZ-A</t>
        </is>
      </c>
      <c r="D5" t="n">
        <v>4</v>
      </c>
      <c r="E5" t="inlineStr">
        <is>
          <t>H1087</t>
        </is>
      </c>
      <c r="F5" t="inlineStr">
        <is>
          <t>桃園市觀音區嘉富路768號-附圖自行定位</t>
        </is>
      </c>
      <c r="G5" t="n">
        <v>24.994064</v>
      </c>
      <c r="H5" t="n">
        <v>121.147372</v>
      </c>
      <c r="I5" t="n">
        <v>8</v>
      </c>
      <c r="J5" t="n">
        <v>3</v>
      </c>
      <c r="K5" t="n">
        <v>51.2</v>
      </c>
      <c r="L5" t="inlineStr">
        <is>
          <t>Primary</t>
        </is>
      </c>
    </row>
    <row r="6">
      <c r="A6" t="n">
        <v>1</v>
      </c>
      <c r="B6" s="20" t="inlineStr">
        <is>
          <t>S01</t>
        </is>
      </c>
      <c r="C6" t="inlineStr">
        <is>
          <t>PZ-A</t>
        </is>
      </c>
      <c r="D6" t="n">
        <v>5</v>
      </c>
      <c r="E6" t="inlineStr">
        <is>
          <t>H1015</t>
        </is>
      </c>
      <c r="F6" t="inlineStr">
        <is>
          <t>桃園市觀音區正大路585巷15號</t>
        </is>
      </c>
      <c r="G6" t="n">
        <v>24.997202</v>
      </c>
      <c r="H6" t="n">
        <v>121.143458</v>
      </c>
      <c r="I6" t="n">
        <v>8</v>
      </c>
      <c r="J6" t="n">
        <v>3</v>
      </c>
      <c r="K6" t="n">
        <v>62.2</v>
      </c>
      <c r="L6" t="inlineStr">
        <is>
          <t>Primary</t>
        </is>
      </c>
    </row>
    <row r="7">
      <c r="A7" t="n">
        <v>1</v>
      </c>
      <c r="B7" s="20" t="inlineStr">
        <is>
          <t>S01</t>
        </is>
      </c>
      <c r="C7" t="inlineStr">
        <is>
          <t>PZ-A</t>
        </is>
      </c>
      <c r="D7" t="n">
        <v>6</v>
      </c>
      <c r="E7" t="inlineStr">
        <is>
          <t>H1014</t>
        </is>
      </c>
      <c r="F7" t="inlineStr">
        <is>
          <t>桃園市觀音區正大路250巷51號</t>
        </is>
      </c>
      <c r="G7" t="n">
        <v>25.002928</v>
      </c>
      <c r="H7" t="n">
        <v>121.144914</v>
      </c>
      <c r="I7" t="n">
        <v>8</v>
      </c>
      <c r="J7" t="n">
        <v>3</v>
      </c>
      <c r="K7" t="n">
        <v>73.2</v>
      </c>
      <c r="L7" t="inlineStr">
        <is>
          <t>Primary</t>
        </is>
      </c>
    </row>
    <row r="8">
      <c r="A8" t="n">
        <v>1</v>
      </c>
      <c r="B8" s="20" t="inlineStr">
        <is>
          <t>S01</t>
        </is>
      </c>
      <c r="C8" t="inlineStr">
        <is>
          <t>PZ-A</t>
        </is>
      </c>
      <c r="D8" t="n">
        <v>7</v>
      </c>
      <c r="E8" t="inlineStr">
        <is>
          <t>H1013</t>
        </is>
      </c>
      <c r="F8" t="inlineStr">
        <is>
          <t>桃園市觀音區正大路165巷</t>
        </is>
      </c>
      <c r="G8" t="n">
        <v>25.002964</v>
      </c>
      <c r="H8" t="n">
        <v>121.1477955</v>
      </c>
      <c r="I8" t="n">
        <v>16</v>
      </c>
      <c r="J8" t="n">
        <v>3</v>
      </c>
      <c r="K8" t="n">
        <v>92.2</v>
      </c>
      <c r="L8" t="inlineStr">
        <is>
          <t>Primary</t>
        </is>
      </c>
    </row>
    <row r="9">
      <c r="A9" t="n">
        <v>1</v>
      </c>
      <c r="B9" s="20" t="inlineStr">
        <is>
          <t>S01</t>
        </is>
      </c>
      <c r="C9" t="inlineStr">
        <is>
          <t>PZ-A</t>
        </is>
      </c>
      <c r="D9" t="n">
        <v>8</v>
      </c>
      <c r="E9" t="inlineStr">
        <is>
          <t>H1041</t>
        </is>
      </c>
      <c r="F9" t="inlineStr">
        <is>
          <t>桃園市觀音區忠愛路三段178號旁</t>
        </is>
      </c>
      <c r="G9" t="n">
        <v>25.003131</v>
      </c>
      <c r="H9" t="n">
        <v>121.152258</v>
      </c>
      <c r="I9" t="n">
        <v>8</v>
      </c>
      <c r="J9" t="n">
        <v>3</v>
      </c>
      <c r="K9" t="n">
        <v>103.2</v>
      </c>
      <c r="L9" t="inlineStr">
        <is>
          <t>Primary</t>
        </is>
      </c>
    </row>
    <row r="10">
      <c r="A10" t="n">
        <v>1</v>
      </c>
      <c r="B10" s="20" t="inlineStr">
        <is>
          <t>S01</t>
        </is>
      </c>
      <c r="C10" t="inlineStr">
        <is>
          <t>PZ-A</t>
        </is>
      </c>
      <c r="D10" t="n">
        <v>9</v>
      </c>
      <c r="E10" t="inlineStr">
        <is>
          <t>H1040</t>
        </is>
      </c>
      <c r="F10" t="inlineStr">
        <is>
          <t>桃園市觀音區忠愛路二段281號</t>
        </is>
      </c>
      <c r="G10" t="n">
        <v>24.999697</v>
      </c>
      <c r="H10" t="n">
        <v>121.157681</v>
      </c>
      <c r="I10" t="n">
        <v>16</v>
      </c>
      <c r="J10" t="n">
        <v>3</v>
      </c>
      <c r="K10" t="n">
        <v>122.2</v>
      </c>
      <c r="L10" t="inlineStr">
        <is>
          <t>Primary</t>
        </is>
      </c>
    </row>
    <row r="11">
      <c r="A11" t="n">
        <v>1</v>
      </c>
      <c r="B11" s="20" t="inlineStr">
        <is>
          <t>S01</t>
        </is>
      </c>
      <c r="C11" t="inlineStr">
        <is>
          <t>PZ-A</t>
        </is>
      </c>
      <c r="D11" t="n">
        <v>10</v>
      </c>
      <c r="E11" t="inlineStr">
        <is>
          <t>H1058</t>
        </is>
      </c>
      <c r="F11" t="inlineStr">
        <is>
          <t>桃園市觀音區崙坪八路-google牛津villa3</t>
        </is>
      </c>
      <c r="G11" t="n">
        <v>24.996622</v>
      </c>
      <c r="H11" t="n">
        <v>121.154631</v>
      </c>
      <c r="I11" t="n">
        <v>16</v>
      </c>
      <c r="J11" t="n">
        <v>3</v>
      </c>
      <c r="K11" t="n">
        <v>141.2</v>
      </c>
      <c r="L11" t="inlineStr">
        <is>
          <t>Primary</t>
        </is>
      </c>
    </row>
    <row r="12">
      <c r="A12" t="n">
        <v>1</v>
      </c>
      <c r="B12" s="20" t="inlineStr">
        <is>
          <t>S01</t>
        </is>
      </c>
      <c r="C12" t="inlineStr">
        <is>
          <t>PZ-A</t>
        </is>
      </c>
      <c r="D12" t="n">
        <v>11</v>
      </c>
      <c r="E12" t="inlineStr">
        <is>
          <t>H0987</t>
        </is>
      </c>
      <c r="F12" t="inlineStr">
        <is>
          <t>桃園市觀音區大湖路10巷95號旁</t>
        </is>
      </c>
      <c r="G12" t="n">
        <v>24.99228</v>
      </c>
      <c r="H12" t="n">
        <v>121.136541</v>
      </c>
      <c r="I12" t="n">
        <v>8</v>
      </c>
      <c r="J12" t="n">
        <v>4.5</v>
      </c>
      <c r="K12" t="n">
        <v>153.8</v>
      </c>
      <c r="L12" t="inlineStr">
        <is>
          <t>Primary</t>
        </is>
      </c>
    </row>
    <row r="13">
      <c r="A13" t="n">
        <v>1</v>
      </c>
      <c r="B13" s="20" t="inlineStr">
        <is>
          <t>S01</t>
        </is>
      </c>
      <c r="C13" t="inlineStr">
        <is>
          <t>PZ-A</t>
        </is>
      </c>
      <c r="D13" t="n">
        <v>12</v>
      </c>
      <c r="E13" t="inlineStr">
        <is>
          <t>H0988</t>
        </is>
      </c>
      <c r="F13" t="inlineStr">
        <is>
          <t>桃園市觀音區大湖路二段131之1號-青林農場旁</t>
        </is>
      </c>
      <c r="G13" t="n">
        <v>24.994361</v>
      </c>
      <c r="H13" t="n">
        <v>121.131</v>
      </c>
      <c r="I13" t="n">
        <v>8</v>
      </c>
      <c r="J13" t="n">
        <v>3</v>
      </c>
      <c r="K13" t="n">
        <v>164.8</v>
      </c>
      <c r="L13" t="inlineStr">
        <is>
          <t>Primary</t>
        </is>
      </c>
    </row>
    <row r="14">
      <c r="A14" t="n">
        <v>1</v>
      </c>
      <c r="B14" s="20" t="inlineStr">
        <is>
          <t>S01</t>
        </is>
      </c>
      <c r="C14" t="inlineStr">
        <is>
          <t>PZ-A</t>
        </is>
      </c>
      <c r="D14" t="n">
        <v>13</v>
      </c>
      <c r="E14" t="inlineStr">
        <is>
          <t>H1074</t>
        </is>
      </c>
      <c r="F14" t="inlineStr">
        <is>
          <t>桃園市觀音區新富路1326號</t>
        </is>
      </c>
      <c r="G14" t="n">
        <v>24.982259</v>
      </c>
      <c r="H14" t="n">
        <v>121.13588</v>
      </c>
      <c r="I14" t="n">
        <v>16</v>
      </c>
      <c r="J14" t="n">
        <v>3.4</v>
      </c>
      <c r="K14" t="n">
        <v>184.2</v>
      </c>
      <c r="L14" t="inlineStr">
        <is>
          <t>Primary</t>
        </is>
      </c>
    </row>
    <row r="15">
      <c r="A15" t="n">
        <v>1</v>
      </c>
      <c r="B15" s="20" t="inlineStr">
        <is>
          <t>S01</t>
        </is>
      </c>
      <c r="C15" t="inlineStr">
        <is>
          <t>PZ-A</t>
        </is>
      </c>
      <c r="D15" t="n">
        <v>14</v>
      </c>
      <c r="E15" t="inlineStr">
        <is>
          <t>H1072</t>
        </is>
      </c>
      <c r="F15" t="inlineStr">
        <is>
          <t>桃園市觀音區新生路76巷7弄1號旁</t>
        </is>
      </c>
      <c r="G15" t="n">
        <v>25.014489</v>
      </c>
      <c r="H15" t="n">
        <v>121.137977</v>
      </c>
      <c r="I15" t="n">
        <v>16</v>
      </c>
      <c r="J15" t="n">
        <v>8.6</v>
      </c>
      <c r="K15" t="n">
        <v>208.8</v>
      </c>
      <c r="L15" t="inlineStr">
        <is>
          <t>Primary</t>
        </is>
      </c>
    </row>
    <row r="16">
      <c r="A16" t="n">
        <v>1</v>
      </c>
      <c r="B16" s="20" t="inlineStr">
        <is>
          <t>S01</t>
        </is>
      </c>
      <c r="C16" t="inlineStr">
        <is>
          <t>PZ-A</t>
        </is>
      </c>
      <c r="D16" t="n">
        <v>15</v>
      </c>
      <c r="E16" t="inlineStr">
        <is>
          <t>H1075</t>
        </is>
      </c>
      <c r="F16" t="inlineStr">
        <is>
          <t>桃園市觀音區新廣路508巷</t>
        </is>
      </c>
      <c r="G16" t="n">
        <v>25.015903</v>
      </c>
      <c r="H16" t="n">
        <v>121.14453</v>
      </c>
      <c r="I16" t="n">
        <v>8</v>
      </c>
      <c r="J16" t="n">
        <v>3</v>
      </c>
      <c r="K16" t="n">
        <v>219.8</v>
      </c>
      <c r="L16" t="inlineStr">
        <is>
          <t>Primary</t>
        </is>
      </c>
    </row>
    <row r="17">
      <c r="A17" t="n">
        <v>1</v>
      </c>
      <c r="B17" s="20" t="inlineStr">
        <is>
          <t>S01</t>
        </is>
      </c>
      <c r="C17" t="inlineStr">
        <is>
          <t>PZ-A</t>
        </is>
      </c>
      <c r="D17" t="n">
        <v>16</v>
      </c>
      <c r="E17" t="inlineStr">
        <is>
          <t>H1076</t>
        </is>
      </c>
      <c r="F17" t="inlineStr">
        <is>
          <t>桃園市觀音區新廣路536巷1號旁工地</t>
        </is>
      </c>
      <c r="G17" t="n">
        <v>25.015425</v>
      </c>
      <c r="H17" t="n">
        <v>121.144747</v>
      </c>
      <c r="I17" t="n">
        <v>8</v>
      </c>
      <c r="J17" t="n">
        <v>2</v>
      </c>
      <c r="K17" t="n">
        <v>229.8</v>
      </c>
      <c r="L17" t="inlineStr">
        <is>
          <t>Primary</t>
        </is>
      </c>
    </row>
    <row r="18">
      <c r="A18" t="n">
        <v>1</v>
      </c>
      <c r="B18" s="20" t="inlineStr">
        <is>
          <t>S01</t>
        </is>
      </c>
      <c r="C18" t="inlineStr">
        <is>
          <t>PZ-A</t>
        </is>
      </c>
      <c r="D18" t="n">
        <v>17</v>
      </c>
      <c r="E18" t="inlineStr">
        <is>
          <t>H1071</t>
        </is>
      </c>
      <c r="F18" t="inlineStr">
        <is>
          <t>桃園市觀音區新生路1110號對面</t>
        </is>
      </c>
      <c r="G18" t="n">
        <v>25.0373945</v>
      </c>
      <c r="H18" t="n">
        <v>121.1436955</v>
      </c>
      <c r="I18" t="n">
        <v>16</v>
      </c>
      <c r="J18" t="n">
        <v>5.9</v>
      </c>
      <c r="K18" t="n">
        <v>251.7</v>
      </c>
      <c r="L18" t="inlineStr">
        <is>
          <t>Primary</t>
        </is>
      </c>
    </row>
    <row r="19">
      <c r="A19" t="n">
        <v>1</v>
      </c>
      <c r="B19" s="20" t="inlineStr">
        <is>
          <t>S01</t>
        </is>
      </c>
      <c r="C19" t="inlineStr">
        <is>
          <t>PZ-A</t>
        </is>
      </c>
      <c r="D19" t="n">
        <v>18</v>
      </c>
      <c r="E19" t="inlineStr">
        <is>
          <t>H1054</t>
        </is>
      </c>
      <c r="F19" t="inlineStr">
        <is>
          <t>桃園市觀音區草新一路-25°02'38.2"N 121°08'43.8"E</t>
        </is>
      </c>
      <c r="G19" t="n">
        <v>25.043841</v>
      </c>
      <c r="H19" t="n">
        <v>121.145164</v>
      </c>
      <c r="I19" t="n">
        <v>8</v>
      </c>
      <c r="J19" t="n">
        <v>3</v>
      </c>
      <c r="K19" t="n">
        <v>262.7</v>
      </c>
      <c r="L19" t="inlineStr">
        <is>
          <t>Primary</t>
        </is>
      </c>
    </row>
    <row r="20">
      <c r="A20" t="n">
        <v>1</v>
      </c>
      <c r="B20" s="20" t="inlineStr">
        <is>
          <t>S01</t>
        </is>
      </c>
      <c r="C20" t="inlineStr">
        <is>
          <t>PZ-A</t>
        </is>
      </c>
      <c r="D20" t="n">
        <v>19</v>
      </c>
      <c r="E20" t="inlineStr">
        <is>
          <t>H1053</t>
        </is>
      </c>
      <c r="F20" t="inlineStr">
        <is>
          <t>桃園市觀音區草新一路&amp;草新路交叉口</t>
        </is>
      </c>
      <c r="G20" t="n">
        <v>25.045127</v>
      </c>
      <c r="H20" t="n">
        <v>121.145669</v>
      </c>
      <c r="I20" t="n">
        <v>8</v>
      </c>
      <c r="J20" t="n">
        <v>3</v>
      </c>
      <c r="K20" t="n">
        <v>273.7</v>
      </c>
      <c r="L20" t="inlineStr">
        <is>
          <t>Primary</t>
        </is>
      </c>
    </row>
    <row r="21">
      <c r="A21" t="n">
        <v>1</v>
      </c>
      <c r="B21" s="20" t="inlineStr">
        <is>
          <t>S01</t>
        </is>
      </c>
      <c r="C21" t="inlineStr">
        <is>
          <t>PZ-A</t>
        </is>
      </c>
      <c r="D21" t="n">
        <v>20</v>
      </c>
      <c r="E21" t="inlineStr">
        <is>
          <t>H1056</t>
        </is>
      </c>
      <c r="F21" t="inlineStr">
        <is>
          <t>桃園市觀音區草新路與草新一路交叉口</t>
        </is>
      </c>
      <c r="G21" t="n">
        <v>25.045277</v>
      </c>
      <c r="H21" t="n">
        <v>121.146033</v>
      </c>
      <c r="I21" t="n">
        <v>8</v>
      </c>
      <c r="J21" t="n">
        <v>2</v>
      </c>
      <c r="K21" t="n">
        <v>283.7</v>
      </c>
      <c r="L21" t="inlineStr">
        <is>
          <t>Primary</t>
        </is>
      </c>
    </row>
    <row r="22">
      <c r="A22" t="n">
        <v>1</v>
      </c>
      <c r="B22" s="20" t="inlineStr">
        <is>
          <t>S01</t>
        </is>
      </c>
      <c r="C22" t="inlineStr">
        <is>
          <t>PZ-A</t>
        </is>
      </c>
      <c r="D22" t="n">
        <v>21</v>
      </c>
      <c r="E22" t="inlineStr">
        <is>
          <t>H1023</t>
        </is>
      </c>
      <c r="F22" t="inlineStr">
        <is>
          <t>桃園市觀音區成功南路上-附地標</t>
        </is>
      </c>
      <c r="G22" t="n">
        <v>25.046947</v>
      </c>
      <c r="H22" t="n">
        <v>121.146964</v>
      </c>
      <c r="I22" t="n">
        <v>8</v>
      </c>
      <c r="J22" t="n">
        <v>3</v>
      </c>
      <c r="K22" t="n">
        <v>294.7</v>
      </c>
      <c r="L22" t="inlineStr">
        <is>
          <t>Primary</t>
        </is>
      </c>
    </row>
    <row r="23">
      <c r="A23" t="n">
        <v>1</v>
      </c>
      <c r="B23" s="20" t="inlineStr">
        <is>
          <t>S01</t>
        </is>
      </c>
      <c r="C23" t="inlineStr">
        <is>
          <t>PZ-A</t>
        </is>
      </c>
      <c r="D23" t="n">
        <v>22</v>
      </c>
      <c r="E23" t="inlineStr">
        <is>
          <t>H1011</t>
        </is>
      </c>
      <c r="F23" t="inlineStr">
        <is>
          <t>桃園市觀音區文學一街-附座標</t>
        </is>
      </c>
      <c r="G23" t="n">
        <v>25.047605</v>
      </c>
      <c r="H23" t="n">
        <v>121.145802</v>
      </c>
      <c r="I23" t="n">
        <v>8</v>
      </c>
      <c r="J23" t="n">
        <v>3</v>
      </c>
      <c r="K23" t="n">
        <v>305.7</v>
      </c>
      <c r="L23" t="inlineStr">
        <is>
          <t>Primary</t>
        </is>
      </c>
    </row>
    <row r="24">
      <c r="A24" t="n">
        <v>1</v>
      </c>
      <c r="B24" s="20" t="inlineStr">
        <is>
          <t>S01</t>
        </is>
      </c>
      <c r="C24" t="inlineStr">
        <is>
          <t>PZ-A</t>
        </is>
      </c>
      <c r="D24" t="n">
        <v>23</v>
      </c>
      <c r="E24" t="inlineStr">
        <is>
          <t>H1055</t>
        </is>
      </c>
      <c r="F24" t="inlineStr">
        <is>
          <t>桃園市觀音區草新一路與學文街交叉路口附近-附地標</t>
        </is>
      </c>
      <c r="G24" t="n">
        <v>25.048808</v>
      </c>
      <c r="H24" t="n">
        <v>121.145758</v>
      </c>
      <c r="I24" t="n">
        <v>8</v>
      </c>
      <c r="J24" t="n">
        <v>3</v>
      </c>
      <c r="K24" t="n">
        <v>316.7</v>
      </c>
      <c r="L24" t="inlineStr">
        <is>
          <t>Primary</t>
        </is>
      </c>
    </row>
    <row r="25">
      <c r="A25" t="n">
        <v>1</v>
      </c>
      <c r="B25" s="20" t="inlineStr">
        <is>
          <t>S01</t>
        </is>
      </c>
      <c r="C25" t="inlineStr">
        <is>
          <t>PZ-A</t>
        </is>
      </c>
      <c r="D25" t="n">
        <v>24</v>
      </c>
      <c r="E25" t="inlineStr">
        <is>
          <t>H1010</t>
        </is>
      </c>
      <c r="F25" t="inlineStr">
        <is>
          <t>桃園市觀音區文學一街附近-附座標</t>
        </is>
      </c>
      <c r="G25" t="n">
        <v>25.049411</v>
      </c>
      <c r="H25" t="n">
        <v>121.146466</v>
      </c>
      <c r="I25" t="n">
        <v>8</v>
      </c>
      <c r="J25" t="n">
        <v>2</v>
      </c>
      <c r="K25" t="n">
        <v>326.7</v>
      </c>
      <c r="L25" t="inlineStr">
        <is>
          <t>Primary</t>
        </is>
      </c>
    </row>
    <row r="26">
      <c r="A26" t="n">
        <v>1</v>
      </c>
      <c r="B26" s="20" t="inlineStr">
        <is>
          <t>S01</t>
        </is>
      </c>
      <c r="C26" t="inlineStr">
        <is>
          <t>PZ-A</t>
        </is>
      </c>
      <c r="D26" t="n">
        <v>25</v>
      </c>
      <c r="E26" t="inlineStr">
        <is>
          <t>H1100</t>
        </is>
      </c>
      <c r="F26" t="inlineStr">
        <is>
          <t>桃園市觀音區學文一街320號旁-319地號</t>
        </is>
      </c>
      <c r="G26" t="n">
        <v>25.049411</v>
      </c>
      <c r="H26" t="n">
        <v>121.146466</v>
      </c>
      <c r="I26" t="n">
        <v>8</v>
      </c>
      <c r="J26" t="n">
        <v>2</v>
      </c>
      <c r="K26" t="n">
        <v>336.7</v>
      </c>
      <c r="L26" t="inlineStr">
        <is>
          <t>Primary</t>
        </is>
      </c>
    </row>
    <row r="27">
      <c r="A27" t="n">
        <v>1</v>
      </c>
      <c r="B27" s="20" t="inlineStr">
        <is>
          <t>S01</t>
        </is>
      </c>
      <c r="C27" t="inlineStr">
        <is>
          <t>PZ-A</t>
        </is>
      </c>
      <c r="D27" t="n">
        <v>26</v>
      </c>
      <c r="E27" t="inlineStr">
        <is>
          <t>H1022</t>
        </is>
      </c>
      <c r="F27" t="inlineStr">
        <is>
          <t>桃園市觀音區成功南路151號25°02'56.0"N 121°08'53.2"E</t>
        </is>
      </c>
      <c r="G27" t="n">
        <v>25.049386</v>
      </c>
      <c r="H27" t="n">
        <v>121.148491</v>
      </c>
      <c r="I27" t="n">
        <v>16</v>
      </c>
      <c r="J27" t="n">
        <v>3</v>
      </c>
      <c r="K27" t="n">
        <v>355.7</v>
      </c>
      <c r="L27" t="inlineStr">
        <is>
          <t>Primary</t>
        </is>
      </c>
    </row>
    <row r="28">
      <c r="A28" t="n">
        <v>1</v>
      </c>
      <c r="B28" s="20" t="inlineStr">
        <is>
          <t>S01</t>
        </is>
      </c>
      <c r="C28" t="inlineStr">
        <is>
          <t>PZ-A</t>
        </is>
      </c>
      <c r="D28" t="n">
        <v>27</v>
      </c>
      <c r="E28" t="inlineStr">
        <is>
          <t>H1103</t>
        </is>
      </c>
      <c r="F28" t="inlineStr">
        <is>
          <t>桃園市觀音區學文路-電聯帶定位</t>
        </is>
      </c>
      <c r="G28" t="n">
        <v>25.050019</v>
      </c>
      <c r="H28" t="n">
        <v>121.148536</v>
      </c>
      <c r="I28" t="n">
        <v>8</v>
      </c>
      <c r="J28" t="n">
        <v>2</v>
      </c>
      <c r="K28" t="n">
        <v>365.7</v>
      </c>
      <c r="L28" t="inlineStr">
        <is>
          <t>Primary</t>
        </is>
      </c>
    </row>
    <row r="29">
      <c r="A29" t="n">
        <v>1</v>
      </c>
      <c r="B29" s="20" t="inlineStr">
        <is>
          <t>S01</t>
        </is>
      </c>
      <c r="C29" t="inlineStr">
        <is>
          <t>PZ-A</t>
        </is>
      </c>
      <c r="D29" t="n">
        <v>28</v>
      </c>
      <c r="E29" t="inlineStr">
        <is>
          <t>H0991</t>
        </is>
      </c>
      <c r="F29" t="inlineStr">
        <is>
          <t>桃園市觀音區大觀路1段343號</t>
        </is>
      </c>
      <c r="G29" t="n">
        <v>25.0498</v>
      </c>
      <c r="H29" t="n">
        <v>121.149475</v>
      </c>
      <c r="I29" t="n">
        <v>8</v>
      </c>
      <c r="J29" t="n">
        <v>2</v>
      </c>
      <c r="K29" t="n">
        <v>375.7</v>
      </c>
      <c r="L29" t="inlineStr">
        <is>
          <t>Primary</t>
        </is>
      </c>
    </row>
    <row r="30">
      <c r="A30" t="n">
        <v>1</v>
      </c>
      <c r="B30" s="20" t="inlineStr">
        <is>
          <t>S01</t>
        </is>
      </c>
      <c r="C30" t="inlineStr">
        <is>
          <t>PZ-A</t>
        </is>
      </c>
      <c r="D30" t="n">
        <v>29</v>
      </c>
      <c r="E30" t="inlineStr">
        <is>
          <t>H0983</t>
        </is>
      </c>
      <c r="F30" t="inlineStr">
        <is>
          <t>桃園市觀音區大功路203號</t>
        </is>
      </c>
      <c r="G30" t="n">
        <v>25.048475</v>
      </c>
      <c r="H30" t="n">
        <v>121.149611</v>
      </c>
      <c r="I30" t="n">
        <v>8</v>
      </c>
      <c r="J30" t="n">
        <v>3</v>
      </c>
      <c r="K30" t="n">
        <v>386.7</v>
      </c>
      <c r="L30" t="inlineStr">
        <is>
          <t>Primary</t>
        </is>
      </c>
    </row>
    <row r="31">
      <c r="A31" t="n">
        <v>1</v>
      </c>
      <c r="B31" s="20" t="inlineStr">
        <is>
          <t>S01</t>
        </is>
      </c>
      <c r="C31" t="inlineStr">
        <is>
          <t>PZ-A</t>
        </is>
      </c>
      <c r="D31" t="n">
        <v>30</v>
      </c>
      <c r="E31" t="inlineStr">
        <is>
          <t>H1024</t>
        </is>
      </c>
      <c r="F31" t="inlineStr">
        <is>
          <t>桃園市觀音區成功南路跟大功路交叉口工地</t>
        </is>
      </c>
      <c r="G31" t="n">
        <v>25.048655</v>
      </c>
      <c r="H31" t="n">
        <v>121.148366</v>
      </c>
      <c r="I31" t="n">
        <v>16</v>
      </c>
      <c r="J31" t="n">
        <v>3</v>
      </c>
      <c r="K31" t="n">
        <v>405.7</v>
      </c>
      <c r="L31" t="inlineStr">
        <is>
          <t>Primary</t>
        </is>
      </c>
    </row>
    <row r="32">
      <c r="A32" t="n">
        <v>1</v>
      </c>
      <c r="B32" s="20" t="inlineStr">
        <is>
          <t>S01</t>
        </is>
      </c>
      <c r="C32" t="inlineStr">
        <is>
          <t>PZ-A</t>
        </is>
      </c>
      <c r="D32" t="n">
        <v>31</v>
      </c>
      <c r="E32" t="inlineStr">
        <is>
          <t>H0993</t>
        </is>
      </c>
      <c r="F32" t="inlineStr">
        <is>
          <t>桃園市觀音區大觀路一段548巷工地</t>
        </is>
      </c>
      <c r="G32" t="n">
        <v>25.0517</v>
      </c>
      <c r="H32" t="n">
        <v>121.145675</v>
      </c>
      <c r="I32" t="n">
        <v>16</v>
      </c>
      <c r="J32" t="n">
        <v>3</v>
      </c>
      <c r="K32" t="n">
        <v>424.7</v>
      </c>
      <c r="L32" t="inlineStr">
        <is>
          <t>Primary</t>
        </is>
      </c>
    </row>
    <row r="33">
      <c r="A33" t="n">
        <v>1</v>
      </c>
      <c r="B33" s="20" t="inlineStr">
        <is>
          <t>S01</t>
        </is>
      </c>
      <c r="C33" t="inlineStr">
        <is>
          <t>PZ-A</t>
        </is>
      </c>
      <c r="D33" t="n">
        <v>32</v>
      </c>
      <c r="E33" t="inlineStr">
        <is>
          <t>H1031</t>
        </is>
      </c>
      <c r="F33" t="inlineStr">
        <is>
          <t>桃園市觀音區忠孝一街-草漯有應公斜對面</t>
        </is>
      </c>
      <c r="G33" t="n">
        <v>25.052933</v>
      </c>
      <c r="H33" t="n">
        <v>121.143058</v>
      </c>
      <c r="I33" t="n">
        <v>8</v>
      </c>
      <c r="J33" t="n">
        <v>3</v>
      </c>
      <c r="K33" t="n">
        <v>435.7</v>
      </c>
      <c r="L33" t="inlineStr">
        <is>
          <t>Primary</t>
        </is>
      </c>
    </row>
    <row r="34">
      <c r="A34" t="n">
        <v>1</v>
      </c>
      <c r="B34" s="20" t="inlineStr">
        <is>
          <t>S01</t>
        </is>
      </c>
      <c r="C34" t="inlineStr">
        <is>
          <t>PZ-A</t>
        </is>
      </c>
      <c r="D34" t="n">
        <v>33</v>
      </c>
      <c r="E34" t="inlineStr">
        <is>
          <t>H1029</t>
        </is>
      </c>
      <c r="F34" t="inlineStr">
        <is>
          <t>桃園市觀音區忠孝一街239號</t>
        </is>
      </c>
      <c r="G34" t="n">
        <v>25.053058</v>
      </c>
      <c r="H34" t="n">
        <v>121.143102</v>
      </c>
      <c r="I34" t="n">
        <v>8</v>
      </c>
      <c r="J34" t="n">
        <v>2</v>
      </c>
      <c r="K34" t="n">
        <v>445.7</v>
      </c>
      <c r="L34" t="inlineStr">
        <is>
          <t>Primary</t>
        </is>
      </c>
    </row>
    <row r="35">
      <c r="A35" t="n">
        <v>1</v>
      </c>
      <c r="B35" s="20" t="inlineStr">
        <is>
          <t>S01</t>
        </is>
      </c>
      <c r="C35" t="inlineStr">
        <is>
          <t>PZ-A</t>
        </is>
      </c>
      <c r="D35" t="n">
        <v>34</v>
      </c>
      <c r="E35" t="inlineStr">
        <is>
          <t>H1032</t>
        </is>
      </c>
      <c r="F35" t="inlineStr">
        <is>
          <t>桃園市觀音區忠孝一街-郡鼎佳禾</t>
        </is>
      </c>
      <c r="G35" t="n">
        <v>25.053267</v>
      </c>
      <c r="H35" t="n">
        <v>121.14263</v>
      </c>
      <c r="I35" t="n">
        <v>8</v>
      </c>
      <c r="J35" t="n">
        <v>2</v>
      </c>
      <c r="K35" t="n">
        <v>455.7</v>
      </c>
      <c r="L35" t="inlineStr">
        <is>
          <t>Primary</t>
        </is>
      </c>
    </row>
    <row r="36">
      <c r="A36" t="n">
        <v>1</v>
      </c>
      <c r="B36" s="20" t="inlineStr">
        <is>
          <t>S01</t>
        </is>
      </c>
      <c r="C36" t="inlineStr">
        <is>
          <t>PZ-A</t>
        </is>
      </c>
      <c r="D36" t="n">
        <v>35</v>
      </c>
      <c r="E36" t="inlineStr">
        <is>
          <t>H1033</t>
        </is>
      </c>
      <c r="F36" t="inlineStr">
        <is>
          <t>桃園市觀音區忠孝一街-電聯帶定位</t>
        </is>
      </c>
      <c r="G36" t="n">
        <v>25.053711</v>
      </c>
      <c r="H36" t="n">
        <v>121.142339</v>
      </c>
      <c r="I36" t="n">
        <v>8</v>
      </c>
      <c r="J36" t="n">
        <v>2</v>
      </c>
      <c r="K36" t="n">
        <v>465.7</v>
      </c>
      <c r="L36" t="inlineStr">
        <is>
          <t>Primary</t>
        </is>
      </c>
    </row>
    <row r="37">
      <c r="A37" t="n">
        <v>1</v>
      </c>
      <c r="B37" s="20" t="inlineStr">
        <is>
          <t>S01</t>
        </is>
      </c>
      <c r="C37" t="inlineStr">
        <is>
          <t>PZ-A</t>
        </is>
      </c>
      <c r="D37" t="n">
        <v>36</v>
      </c>
      <c r="E37" t="inlineStr">
        <is>
          <t>H1061</t>
        </is>
      </c>
      <c r="F37" t="inlineStr">
        <is>
          <t>桃園市觀音區莊敬三街172號旁</t>
        </is>
      </c>
      <c r="G37" t="n">
        <v>25.054214</v>
      </c>
      <c r="H37" t="n">
        <v>121.142033</v>
      </c>
      <c r="I37" t="n">
        <v>8</v>
      </c>
      <c r="J37" t="n">
        <v>2</v>
      </c>
      <c r="K37" t="n">
        <v>475.7</v>
      </c>
      <c r="L37" t="inlineStr">
        <is>
          <t>Primary</t>
        </is>
      </c>
    </row>
    <row r="38">
      <c r="A38" t="n">
        <v>1</v>
      </c>
      <c r="B38" s="20" t="inlineStr">
        <is>
          <t>S01</t>
        </is>
      </c>
      <c r="C38" t="inlineStr">
        <is>
          <t>PZ-A</t>
        </is>
      </c>
      <c r="D38" t="n">
        <v>37</v>
      </c>
      <c r="E38" t="inlineStr">
        <is>
          <t>H1060</t>
        </is>
      </c>
      <c r="F38" t="inlineStr">
        <is>
          <t>桃園市觀音區莊敬三街</t>
        </is>
      </c>
      <c r="G38" t="n">
        <v>25.054192</v>
      </c>
      <c r="H38" t="n">
        <v>121.141927</v>
      </c>
      <c r="I38" t="n">
        <v>8</v>
      </c>
      <c r="J38" t="n">
        <v>2</v>
      </c>
      <c r="K38" t="n">
        <v>485.7</v>
      </c>
      <c r="L38" t="inlineStr">
        <is>
          <t>Primary</t>
        </is>
      </c>
    </row>
    <row r="39">
      <c r="A39" t="n">
        <v>1</v>
      </c>
      <c r="B39" s="20" t="inlineStr">
        <is>
          <t>S01</t>
        </is>
      </c>
      <c r="C39" t="inlineStr">
        <is>
          <t>PZ-A</t>
        </is>
      </c>
      <c r="D39" t="n">
        <v>38</v>
      </c>
      <c r="E39" t="inlineStr">
        <is>
          <t>H1062</t>
        </is>
      </c>
      <c r="F39" t="inlineStr">
        <is>
          <t>桃園市觀音區莊敬三街180號附近工地</t>
        </is>
      </c>
      <c r="G39" t="n">
        <v>25.054003</v>
      </c>
      <c r="H39" t="n">
        <v>121.141705</v>
      </c>
      <c r="I39" t="n">
        <v>8</v>
      </c>
      <c r="J39" t="n">
        <v>2</v>
      </c>
      <c r="K39" t="n">
        <v>495.7</v>
      </c>
      <c r="L39" t="inlineStr">
        <is>
          <t>Primary</t>
        </is>
      </c>
    </row>
    <row r="40">
      <c r="A40" t="n">
        <v>1</v>
      </c>
      <c r="B40" s="20" t="inlineStr">
        <is>
          <t>S01</t>
        </is>
      </c>
      <c r="C40" t="inlineStr">
        <is>
          <t>PZ-A</t>
        </is>
      </c>
      <c r="D40" t="n">
        <v>39</v>
      </c>
      <c r="E40" t="inlineStr">
        <is>
          <t>H1063</t>
        </is>
      </c>
      <c r="F40" t="inlineStr">
        <is>
          <t>桃園市觀音區莊敬三街180號附近工地-追加</t>
        </is>
      </c>
      <c r="G40" t="n">
        <v>25.054003</v>
      </c>
      <c r="H40" t="n">
        <v>121.141705</v>
      </c>
      <c r="I40" t="n">
        <v>8</v>
      </c>
      <c r="J40" t="n">
        <v>2</v>
      </c>
      <c r="K40" t="n">
        <v>505.7</v>
      </c>
      <c r="L40" t="inlineStr">
        <is>
          <t>Primary</t>
        </is>
      </c>
    </row>
    <row r="41">
      <c r="A41" t="n">
        <v>1</v>
      </c>
      <c r="B41" s="20" t="inlineStr">
        <is>
          <t>S01</t>
        </is>
      </c>
      <c r="C41" t="inlineStr">
        <is>
          <t>PZ-A</t>
        </is>
      </c>
      <c r="D41" t="n">
        <v>40</v>
      </c>
      <c r="E41" t="inlineStr">
        <is>
          <t>H1030</t>
        </is>
      </c>
      <c r="F41" t="inlineStr">
        <is>
          <t>桃園市觀音區忠孝一街-附座標</t>
        </is>
      </c>
      <c r="G41" t="n">
        <v>25.053917</v>
      </c>
      <c r="H41" t="n">
        <v>121.141614</v>
      </c>
      <c r="I41" t="n">
        <v>8</v>
      </c>
      <c r="J41" t="n">
        <v>2</v>
      </c>
      <c r="K41" t="n">
        <v>515.7</v>
      </c>
      <c r="L41" t="inlineStr">
        <is>
          <t>Primary</t>
        </is>
      </c>
    </row>
    <row r="42">
      <c r="A42" t="n">
        <v>2</v>
      </c>
      <c r="B42" s="20" t="inlineStr">
        <is>
          <t>S01</t>
        </is>
      </c>
      <c r="C42" t="inlineStr">
        <is>
          <t>PZ-A</t>
        </is>
      </c>
      <c r="D42" t="n">
        <v>1</v>
      </c>
      <c r="E42" t="inlineStr">
        <is>
          <t>H0562</t>
        </is>
      </c>
      <c r="F42" t="inlineStr">
        <is>
          <t>桃園市桃園區中山路812巷27弄11號-附圖定位</t>
        </is>
      </c>
      <c r="G42" t="n">
        <v>24.991789</v>
      </c>
      <c r="H42" t="n">
        <v>121.290202</v>
      </c>
      <c r="I42" t="n">
        <v>16</v>
      </c>
      <c r="J42" t="n">
        <v>11.4</v>
      </c>
      <c r="K42" t="n">
        <v>27.4</v>
      </c>
      <c r="L42" t="inlineStr">
        <is>
          <t>Primary</t>
        </is>
      </c>
    </row>
    <row r="43">
      <c r="A43" t="n">
        <v>2</v>
      </c>
      <c r="B43" s="20" t="inlineStr">
        <is>
          <t>S01</t>
        </is>
      </c>
      <c r="C43" t="inlineStr">
        <is>
          <t>PZ-A</t>
        </is>
      </c>
      <c r="D43" t="n">
        <v>2</v>
      </c>
      <c r="E43" t="inlineStr">
        <is>
          <t>H0574</t>
        </is>
      </c>
      <c r="F43" t="inlineStr">
        <is>
          <t>桃園市桃園區文中路 &amp; 文中一路交叉口</t>
        </is>
      </c>
      <c r="G43" t="n">
        <v>24.9964815</v>
      </c>
      <c r="H43" t="n">
        <v>121.2932055</v>
      </c>
      <c r="I43" t="n">
        <v>16</v>
      </c>
      <c r="J43" t="n">
        <v>3</v>
      </c>
      <c r="K43" t="n">
        <v>46.4</v>
      </c>
      <c r="L43" t="inlineStr">
        <is>
          <t>Primary</t>
        </is>
      </c>
    </row>
    <row r="44">
      <c r="A44" t="n">
        <v>2</v>
      </c>
      <c r="B44" s="20" t="inlineStr">
        <is>
          <t>S01</t>
        </is>
      </c>
      <c r="C44" t="inlineStr">
        <is>
          <t>PZ-A</t>
        </is>
      </c>
      <c r="D44" t="n">
        <v>3</v>
      </c>
      <c r="E44" t="inlineStr">
        <is>
          <t>H0615</t>
        </is>
      </c>
      <c r="F44" t="inlineStr">
        <is>
          <t>桃園市桃園區慈文路500號</t>
        </is>
      </c>
      <c r="G44" t="n">
        <v>25.002558</v>
      </c>
      <c r="H44" t="n">
        <v>121.296436</v>
      </c>
      <c r="I44" t="n">
        <v>8</v>
      </c>
      <c r="J44" t="n">
        <v>3</v>
      </c>
      <c r="K44" t="n">
        <v>57.4</v>
      </c>
      <c r="L44" t="inlineStr">
        <is>
          <t>Primary</t>
        </is>
      </c>
    </row>
    <row r="45">
      <c r="A45" t="n">
        <v>2</v>
      </c>
      <c r="B45" s="20" t="inlineStr">
        <is>
          <t>S01</t>
        </is>
      </c>
      <c r="C45" t="inlineStr">
        <is>
          <t>PZ-A</t>
        </is>
      </c>
      <c r="D45" t="n">
        <v>4</v>
      </c>
      <c r="E45" t="inlineStr">
        <is>
          <t>H0617</t>
        </is>
      </c>
      <c r="F45" t="inlineStr">
        <is>
          <t>桃園市桃園區慈華街8號旁</t>
        </is>
      </c>
      <c r="G45" t="n">
        <v>25.00425</v>
      </c>
      <c r="H45" t="n">
        <v>121.297972</v>
      </c>
      <c r="I45" t="n">
        <v>8</v>
      </c>
      <c r="J45" t="n">
        <v>3</v>
      </c>
      <c r="K45" t="n">
        <v>68.40000000000001</v>
      </c>
      <c r="L45" t="inlineStr">
        <is>
          <t>Primary</t>
        </is>
      </c>
    </row>
    <row r="46">
      <c r="A46" t="n">
        <v>2</v>
      </c>
      <c r="B46" s="20" t="inlineStr">
        <is>
          <t>S01</t>
        </is>
      </c>
      <c r="C46" t="inlineStr">
        <is>
          <t>PZ-A</t>
        </is>
      </c>
      <c r="D46" t="n">
        <v>5</v>
      </c>
      <c r="E46" t="inlineStr">
        <is>
          <t>H0579</t>
        </is>
      </c>
      <c r="F46" t="inlineStr">
        <is>
          <t>桃園市桃園區永安路與溫州一街交叉口</t>
        </is>
      </c>
      <c r="G46" t="n">
        <v>25.004747</v>
      </c>
      <c r="H46" t="n">
        <v>121.295227</v>
      </c>
      <c r="I46" t="n">
        <v>8</v>
      </c>
      <c r="J46" t="n">
        <v>3</v>
      </c>
      <c r="K46" t="n">
        <v>79.40000000000001</v>
      </c>
      <c r="L46" t="inlineStr">
        <is>
          <t>Primary</t>
        </is>
      </c>
    </row>
    <row r="47">
      <c r="A47" t="n">
        <v>2</v>
      </c>
      <c r="B47" s="20" t="inlineStr">
        <is>
          <t>S01</t>
        </is>
      </c>
      <c r="C47" t="inlineStr">
        <is>
          <t>PZ-A</t>
        </is>
      </c>
      <c r="D47" t="n">
        <v>6</v>
      </c>
      <c r="E47" t="inlineStr">
        <is>
          <t>H0582</t>
        </is>
      </c>
      <c r="F47" t="inlineStr">
        <is>
          <t>桃園市桃園區吉安街102號-A棟</t>
        </is>
      </c>
      <c r="G47" t="n">
        <v>25.0048015</v>
      </c>
      <c r="H47" t="n">
        <v>121.2915055</v>
      </c>
      <c r="I47" t="n">
        <v>40</v>
      </c>
      <c r="J47" t="n">
        <v>3</v>
      </c>
      <c r="K47" t="n">
        <v>122.4</v>
      </c>
      <c r="L47" t="inlineStr">
        <is>
          <t>Primary</t>
        </is>
      </c>
    </row>
    <row r="48">
      <c r="A48" t="n">
        <v>2</v>
      </c>
      <c r="B48" s="20" t="inlineStr">
        <is>
          <t>S01</t>
        </is>
      </c>
      <c r="C48" t="inlineStr">
        <is>
          <t>PZ-A</t>
        </is>
      </c>
      <c r="D48" t="n">
        <v>7</v>
      </c>
      <c r="E48" t="inlineStr">
        <is>
          <t>H0581</t>
        </is>
      </c>
      <c r="F48" t="inlineStr">
        <is>
          <t>桃園市桃園區吉安街102號</t>
        </is>
      </c>
      <c r="G48" t="n">
        <v>25.004836</v>
      </c>
      <c r="H48" t="n">
        <v>121.291429</v>
      </c>
      <c r="I48" t="n">
        <v>56</v>
      </c>
      <c r="J48" t="n">
        <v>2</v>
      </c>
      <c r="K48" t="n">
        <v>180.4</v>
      </c>
      <c r="L48" t="inlineStr">
        <is>
          <t>Primary</t>
        </is>
      </c>
    </row>
    <row r="49">
      <c r="A49" t="n">
        <v>2</v>
      </c>
      <c r="B49" s="20" t="inlineStr">
        <is>
          <t>S01</t>
        </is>
      </c>
      <c r="C49" t="inlineStr">
        <is>
          <t>PZ-A</t>
        </is>
      </c>
      <c r="D49" t="n">
        <v>8</v>
      </c>
      <c r="E49" t="inlineStr">
        <is>
          <t>H0587</t>
        </is>
      </c>
      <c r="F49" t="inlineStr">
        <is>
          <t>桃園市桃園區吉安街102號-B棟21F</t>
        </is>
      </c>
      <c r="G49" t="n">
        <v>25.005483</v>
      </c>
      <c r="H49" t="n">
        <v>121.29093</v>
      </c>
      <c r="I49" t="n">
        <v>22</v>
      </c>
      <c r="J49" t="n">
        <v>2</v>
      </c>
      <c r="K49" t="n">
        <v>204.4</v>
      </c>
      <c r="L49" t="inlineStr">
        <is>
          <t>Primary</t>
        </is>
      </c>
    </row>
    <row r="50">
      <c r="A50" t="n">
        <v>2</v>
      </c>
      <c r="B50" s="20" t="inlineStr">
        <is>
          <t>S01</t>
        </is>
      </c>
      <c r="C50" t="inlineStr">
        <is>
          <t>PZ-A</t>
        </is>
      </c>
      <c r="D50" t="n">
        <v>9</v>
      </c>
      <c r="E50" t="inlineStr">
        <is>
          <t>H0568</t>
        </is>
      </c>
      <c r="F50" t="inlineStr">
        <is>
          <t>桃園市桃園區中埔二街8號旁</t>
        </is>
      </c>
      <c r="G50" t="n">
        <v>25.009264</v>
      </c>
      <c r="H50" t="n">
        <v>121.297094</v>
      </c>
      <c r="I50" t="n">
        <v>8</v>
      </c>
      <c r="J50" t="n">
        <v>3</v>
      </c>
      <c r="K50" t="n">
        <v>215.4</v>
      </c>
      <c r="L50" t="inlineStr">
        <is>
          <t>Primary</t>
        </is>
      </c>
    </row>
    <row r="51">
      <c r="A51" t="n">
        <v>2</v>
      </c>
      <c r="B51" s="20" t="inlineStr">
        <is>
          <t>S01</t>
        </is>
      </c>
      <c r="C51" t="inlineStr">
        <is>
          <t>PZ-A</t>
        </is>
      </c>
      <c r="D51" t="n">
        <v>10</v>
      </c>
      <c r="E51" t="inlineStr">
        <is>
          <t>H0567</t>
        </is>
      </c>
      <c r="F51" t="inlineStr">
        <is>
          <t>桃園市桃園區中正路648巷&amp;大連三街交叉口</t>
        </is>
      </c>
      <c r="G51" t="n">
        <v>25.005547</v>
      </c>
      <c r="H51" t="n">
        <v>121.304828</v>
      </c>
      <c r="I51" t="n">
        <v>16</v>
      </c>
      <c r="J51" t="n">
        <v>3</v>
      </c>
      <c r="K51" t="n">
        <v>234.4</v>
      </c>
      <c r="L51" t="inlineStr">
        <is>
          <t>Primary</t>
        </is>
      </c>
    </row>
    <row r="52">
      <c r="A52" t="n">
        <v>2</v>
      </c>
      <c r="B52" s="20" t="inlineStr">
        <is>
          <t>S01</t>
        </is>
      </c>
      <c r="C52" t="inlineStr">
        <is>
          <t>PZ-A</t>
        </is>
      </c>
      <c r="D52" t="n">
        <v>11</v>
      </c>
      <c r="E52" t="inlineStr">
        <is>
          <t>H0553</t>
        </is>
      </c>
      <c r="F52" t="inlineStr">
        <is>
          <t>桃園市桃園區(鶯歌區)桃鶯路2段58號</t>
        </is>
      </c>
      <c r="G52" t="n">
        <v>24.972809</v>
      </c>
      <c r="H52" t="n">
        <v>121.323878</v>
      </c>
      <c r="I52" t="n">
        <v>16</v>
      </c>
      <c r="J52" t="n">
        <v>9.9</v>
      </c>
      <c r="K52" t="n">
        <v>260.3</v>
      </c>
      <c r="L52" t="inlineStr">
        <is>
          <t>Primary</t>
        </is>
      </c>
    </row>
    <row r="53">
      <c r="A53" t="n">
        <v>2</v>
      </c>
      <c r="B53" s="20" t="inlineStr">
        <is>
          <t>S01</t>
        </is>
      </c>
      <c r="C53" t="inlineStr">
        <is>
          <t>PZ-A</t>
        </is>
      </c>
      <c r="D53" t="n">
        <v>12</v>
      </c>
      <c r="E53" t="inlineStr">
        <is>
          <t>H0866</t>
        </is>
      </c>
      <c r="F53" t="inlineStr">
        <is>
          <t>桃園市龜山區東舊路街118巷71號</t>
        </is>
      </c>
      <c r="G53" t="n">
        <v>25.013292</v>
      </c>
      <c r="H53" t="n">
        <v>121.36905</v>
      </c>
      <c r="I53" t="n">
        <v>8</v>
      </c>
      <c r="J53" t="n">
        <v>15.4</v>
      </c>
      <c r="K53" t="n">
        <v>283.7</v>
      </c>
      <c r="L53" t="inlineStr">
        <is>
          <t>Primary</t>
        </is>
      </c>
    </row>
    <row r="54">
      <c r="A54" t="n">
        <v>2</v>
      </c>
      <c r="B54" s="20" t="inlineStr">
        <is>
          <t>S01</t>
        </is>
      </c>
      <c r="C54" t="inlineStr">
        <is>
          <t>PZ-A</t>
        </is>
      </c>
      <c r="D54" t="n">
        <v>13</v>
      </c>
      <c r="E54" t="inlineStr">
        <is>
          <t>H0873</t>
        </is>
      </c>
      <c r="F54" t="inlineStr">
        <is>
          <t>桃園市龜山區華亞一路&amp;科技九路交叉口工地-追加</t>
        </is>
      </c>
      <c r="G54" t="n">
        <v>25.033164</v>
      </c>
      <c r="H54" t="n">
        <v>121.371536</v>
      </c>
      <c r="I54" t="n">
        <v>16</v>
      </c>
      <c r="J54" t="n">
        <v>5.3</v>
      </c>
      <c r="K54" t="n">
        <v>305</v>
      </c>
      <c r="L54" t="inlineStr">
        <is>
          <t>Primary</t>
        </is>
      </c>
    </row>
    <row r="55">
      <c r="A55" t="n">
        <v>2</v>
      </c>
      <c r="B55" s="20" t="inlineStr">
        <is>
          <t>S01</t>
        </is>
      </c>
      <c r="C55" t="inlineStr">
        <is>
          <t>PZ-A</t>
        </is>
      </c>
      <c r="D55" t="n">
        <v>14</v>
      </c>
      <c r="E55" t="inlineStr">
        <is>
          <t>H0871</t>
        </is>
      </c>
      <c r="F55" t="inlineStr">
        <is>
          <t>桃園市龜山區頂湖路72號(頂湖超高壓變電所)</t>
        </is>
      </c>
      <c r="G55" t="n">
        <v>25.0362929</v>
      </c>
      <c r="H55" t="n">
        <v>121.3653197</v>
      </c>
      <c r="I55" t="n">
        <v>32</v>
      </c>
      <c r="J55" t="n">
        <v>3</v>
      </c>
      <c r="K55" t="n">
        <v>340</v>
      </c>
      <c r="L55" t="inlineStr">
        <is>
          <t>Primary</t>
        </is>
      </c>
    </row>
    <row r="56">
      <c r="A56" t="n">
        <v>2</v>
      </c>
      <c r="B56" s="20" t="inlineStr">
        <is>
          <t>S01</t>
        </is>
      </c>
      <c r="C56" t="inlineStr">
        <is>
          <t>PZ-A</t>
        </is>
      </c>
      <c r="D56" t="n">
        <v>15</v>
      </c>
      <c r="E56" t="inlineStr">
        <is>
          <t>H0861</t>
        </is>
      </c>
      <c r="F56" t="inlineStr">
        <is>
          <t>桃園市龜山區忠義路二段260巷28號旁</t>
        </is>
      </c>
      <c r="G56" t="n">
        <v>25.045266</v>
      </c>
      <c r="H56" t="n">
        <v>121.358714</v>
      </c>
      <c r="I56" t="n">
        <v>8</v>
      </c>
      <c r="J56" t="n">
        <v>3</v>
      </c>
      <c r="K56" t="n">
        <v>351</v>
      </c>
      <c r="L56" t="inlineStr">
        <is>
          <t>Primary</t>
        </is>
      </c>
    </row>
    <row r="57">
      <c r="A57" t="n">
        <v>2</v>
      </c>
      <c r="B57" s="20" t="inlineStr">
        <is>
          <t>S01</t>
        </is>
      </c>
      <c r="C57" t="inlineStr">
        <is>
          <t>PZ-A</t>
        </is>
      </c>
      <c r="D57" t="n">
        <v>16</v>
      </c>
      <c r="E57" t="inlineStr">
        <is>
          <t>H0853</t>
        </is>
      </c>
      <c r="F57" t="inlineStr">
        <is>
          <t>桃園市龜山區文化東路88號</t>
        </is>
      </c>
      <c r="G57" t="n">
        <v>25.051617</v>
      </c>
      <c r="H57" t="n">
        <v>121.359767</v>
      </c>
      <c r="I57" t="n">
        <v>8</v>
      </c>
      <c r="J57" t="n">
        <v>3</v>
      </c>
      <c r="K57" t="n">
        <v>362</v>
      </c>
      <c r="L57" t="inlineStr">
        <is>
          <t>Primary</t>
        </is>
      </c>
    </row>
    <row r="58">
      <c r="A58" t="n">
        <v>2</v>
      </c>
      <c r="B58" s="20" t="inlineStr">
        <is>
          <t>S01</t>
        </is>
      </c>
      <c r="C58" t="inlineStr">
        <is>
          <t>PZ-A</t>
        </is>
      </c>
      <c r="D58" t="n">
        <v>17</v>
      </c>
      <c r="E58" t="inlineStr">
        <is>
          <t>H0843</t>
        </is>
      </c>
      <c r="F58" t="inlineStr">
        <is>
          <t>桃園市龜山區文七五街36號</t>
        </is>
      </c>
      <c r="G58" t="n">
        <v>25.053003</v>
      </c>
      <c r="H58" t="n">
        <v>121.362269</v>
      </c>
      <c r="I58" t="n">
        <v>8</v>
      </c>
      <c r="J58" t="n">
        <v>3</v>
      </c>
      <c r="K58" t="n">
        <v>373</v>
      </c>
      <c r="L58" t="inlineStr">
        <is>
          <t>Primary</t>
        </is>
      </c>
    </row>
    <row r="59">
      <c r="A59" t="n">
        <v>2</v>
      </c>
      <c r="B59" s="20" t="inlineStr">
        <is>
          <t>S01</t>
        </is>
      </c>
      <c r="C59" t="inlineStr">
        <is>
          <t>PZ-A</t>
        </is>
      </c>
      <c r="D59" t="n">
        <v>18</v>
      </c>
      <c r="E59" t="inlineStr">
        <is>
          <t>H0880</t>
        </is>
      </c>
      <c r="F59" t="inlineStr">
        <is>
          <t>桃園市龜山區興華三街28巷18號</t>
        </is>
      </c>
      <c r="G59" t="n">
        <v>25.054417</v>
      </c>
      <c r="H59" t="n">
        <v>121.364681</v>
      </c>
      <c r="I59" t="n">
        <v>8</v>
      </c>
      <c r="J59" t="n">
        <v>3</v>
      </c>
      <c r="K59" t="n">
        <v>384</v>
      </c>
      <c r="L59" t="inlineStr">
        <is>
          <t>Primary</t>
        </is>
      </c>
    </row>
    <row r="60">
      <c r="A60" t="n">
        <v>2</v>
      </c>
      <c r="B60" s="20" t="inlineStr">
        <is>
          <t>S01</t>
        </is>
      </c>
      <c r="C60" t="inlineStr">
        <is>
          <t>PZ-A</t>
        </is>
      </c>
      <c r="D60" t="n">
        <v>19</v>
      </c>
      <c r="E60" t="inlineStr">
        <is>
          <t>H0851</t>
        </is>
      </c>
      <c r="F60" t="inlineStr">
        <is>
          <t>桃園市龜山區文化三路373號</t>
        </is>
      </c>
      <c r="G60" t="n">
        <v>25.055275</v>
      </c>
      <c r="H60" t="n">
        <v>121.366064</v>
      </c>
      <c r="I60" t="n">
        <v>8</v>
      </c>
      <c r="J60" t="n">
        <v>3</v>
      </c>
      <c r="K60" t="n">
        <v>395</v>
      </c>
      <c r="L60" t="inlineStr">
        <is>
          <t>Primary</t>
        </is>
      </c>
    </row>
    <row r="61">
      <c r="A61" t="n">
        <v>2</v>
      </c>
      <c r="B61" s="20" t="inlineStr">
        <is>
          <t>S01</t>
        </is>
      </c>
      <c r="C61" t="inlineStr">
        <is>
          <t>PZ-A</t>
        </is>
      </c>
      <c r="D61" t="n">
        <v>20</v>
      </c>
      <c r="E61" t="inlineStr">
        <is>
          <t>H0846</t>
        </is>
      </c>
      <c r="F61" t="inlineStr">
        <is>
          <t>桃園市龜山區文化一路40號</t>
        </is>
      </c>
      <c r="G61" t="n">
        <v>25.057244</v>
      </c>
      <c r="H61" t="n">
        <v>121.373773</v>
      </c>
      <c r="I61" t="n">
        <v>8</v>
      </c>
      <c r="J61" t="n">
        <v>3</v>
      </c>
      <c r="K61" t="n">
        <v>406</v>
      </c>
      <c r="L61" t="inlineStr">
        <is>
          <t>Primary</t>
        </is>
      </c>
    </row>
    <row r="62">
      <c r="A62" t="n">
        <v>2</v>
      </c>
      <c r="B62" s="20" t="inlineStr">
        <is>
          <t>S01</t>
        </is>
      </c>
      <c r="C62" t="inlineStr">
        <is>
          <t>PZ-A</t>
        </is>
      </c>
      <c r="D62" t="n">
        <v>21</v>
      </c>
      <c r="E62" t="inlineStr">
        <is>
          <t>H0849</t>
        </is>
      </c>
      <c r="F62" t="inlineStr">
        <is>
          <t>桃園市龜山區文化一路86-50號旁邊工地</t>
        </is>
      </c>
      <c r="G62" t="n">
        <v>25.049991</v>
      </c>
      <c r="H62" t="n">
        <v>121.380481</v>
      </c>
      <c r="I62" t="n">
        <v>8</v>
      </c>
      <c r="J62" t="n">
        <v>3</v>
      </c>
      <c r="K62" t="n">
        <v>417</v>
      </c>
      <c r="L62" t="inlineStr">
        <is>
          <t>Primary</t>
        </is>
      </c>
    </row>
    <row r="63">
      <c r="A63" t="n">
        <v>2</v>
      </c>
      <c r="B63" s="20" t="inlineStr">
        <is>
          <t>S01</t>
        </is>
      </c>
      <c r="C63" t="inlineStr">
        <is>
          <t>PZ-A</t>
        </is>
      </c>
      <c r="D63" t="n">
        <v>22</v>
      </c>
      <c r="E63" t="inlineStr">
        <is>
          <t>H0845</t>
        </is>
      </c>
      <c r="F63" t="inlineStr">
        <is>
          <t>桃園市龜山區文化一路&amp;樂善二路交叉路口</t>
        </is>
      </c>
      <c r="G63" t="n">
        <v>25.047102</v>
      </c>
      <c r="H63" t="n">
        <v>121.385852</v>
      </c>
      <c r="I63" t="n">
        <v>16</v>
      </c>
      <c r="J63" t="n">
        <v>3</v>
      </c>
      <c r="K63" t="n">
        <v>436</v>
      </c>
      <c r="L63" t="inlineStr">
        <is>
          <t>Primary</t>
        </is>
      </c>
    </row>
    <row r="64">
      <c r="A64" t="n">
        <v>2</v>
      </c>
      <c r="B64" s="20" t="inlineStr">
        <is>
          <t>S01</t>
        </is>
      </c>
      <c r="C64" t="inlineStr">
        <is>
          <t>PZ-A</t>
        </is>
      </c>
      <c r="D64" t="n">
        <v>23</v>
      </c>
      <c r="E64" t="inlineStr">
        <is>
          <t>H0876</t>
        </is>
      </c>
      <c r="F64" t="inlineStr">
        <is>
          <t>桃園市龜山區樂善二路427號對面工地</t>
        </is>
      </c>
      <c r="G64" t="n">
        <v>25.045297</v>
      </c>
      <c r="H64" t="n">
        <v>121.391839</v>
      </c>
      <c r="I64" t="n">
        <v>16</v>
      </c>
      <c r="J64" t="n">
        <v>3</v>
      </c>
      <c r="K64" t="n">
        <v>455</v>
      </c>
      <c r="L64" t="inlineStr">
        <is>
          <t>Primary</t>
        </is>
      </c>
    </row>
    <row r="65">
      <c r="A65" t="n">
        <v>2</v>
      </c>
      <c r="B65" s="20" t="inlineStr">
        <is>
          <t>S01</t>
        </is>
      </c>
      <c r="C65" t="inlineStr">
        <is>
          <t>PZ-A</t>
        </is>
      </c>
      <c r="D65" t="n">
        <v>24</v>
      </c>
      <c r="E65" t="inlineStr">
        <is>
          <t>H0854</t>
        </is>
      </c>
      <c r="F65" t="inlineStr">
        <is>
          <t>桃園市龜山區文南路171號</t>
        </is>
      </c>
      <c r="G65" t="n">
        <v>25.044889</v>
      </c>
      <c r="H65" t="n">
        <v>121.399855</v>
      </c>
      <c r="I65" t="n">
        <v>32</v>
      </c>
      <c r="J65" t="n">
        <v>3</v>
      </c>
      <c r="K65" t="n">
        <v>490</v>
      </c>
      <c r="L65" t="inlineStr">
        <is>
          <t>Primary</t>
        </is>
      </c>
    </row>
    <row r="66">
      <c r="A66" t="n">
        <v>2</v>
      </c>
      <c r="B66" s="20" t="inlineStr">
        <is>
          <t>S01</t>
        </is>
      </c>
      <c r="C66" t="inlineStr">
        <is>
          <t>PZ-A</t>
        </is>
      </c>
      <c r="D66" t="n">
        <v>25</v>
      </c>
      <c r="E66" t="inlineStr">
        <is>
          <t>H0912</t>
        </is>
      </c>
      <c r="F66" t="inlineStr">
        <is>
          <t>桃園市蘆竹區山林路２段470號</t>
        </is>
      </c>
      <c r="G66" t="n">
        <v>25.082573</v>
      </c>
      <c r="H66" t="n">
        <v>121.305025</v>
      </c>
      <c r="I66" t="n">
        <v>8</v>
      </c>
      <c r="J66" t="n">
        <v>10.4</v>
      </c>
      <c r="K66" t="n">
        <v>508.4</v>
      </c>
      <c r="L66" t="inlineStr">
        <is>
          <t>Primary</t>
        </is>
      </c>
    </row>
    <row r="67">
      <c r="A67" t="n">
        <v>2</v>
      </c>
      <c r="B67" s="20" t="inlineStr">
        <is>
          <t>S01</t>
        </is>
      </c>
      <c r="C67" t="inlineStr">
        <is>
          <t>PZ-B</t>
        </is>
      </c>
      <c r="D67" t="n">
        <v>26</v>
      </c>
      <c r="E67" t="inlineStr">
        <is>
          <t>H0352</t>
        </is>
      </c>
      <c r="F67" t="inlineStr">
        <is>
          <t>桃園市中壢區中興路一段116巷121號</t>
        </is>
      </c>
      <c r="G67" t="n">
        <v>25.010781</v>
      </c>
      <c r="H67" t="n">
        <v>121.244761</v>
      </c>
      <c r="I67" t="n">
        <v>8</v>
      </c>
      <c r="J67" t="n">
        <v>10</v>
      </c>
      <c r="K67" t="n">
        <v>526.4</v>
      </c>
      <c r="L67" s="21" t="inlineStr">
        <is>
          <t>Support</t>
        </is>
      </c>
    </row>
    <row r="68">
      <c r="A68" t="n">
        <v>3</v>
      </c>
      <c r="B68" s="20" t="inlineStr">
        <is>
          <t>S01</t>
        </is>
      </c>
      <c r="C68" t="inlineStr">
        <is>
          <t>PZ-A</t>
        </is>
      </c>
      <c r="D68" t="n">
        <v>1</v>
      </c>
      <c r="E68" t="inlineStr">
        <is>
          <t>H0254</t>
        </is>
      </c>
      <c r="F68" t="inlineStr">
        <is>
          <t>桃園市大園區溪海路808巷32弄</t>
        </is>
      </c>
      <c r="G68" t="n">
        <v>25.021581</v>
      </c>
      <c r="H68" t="n">
        <v>121.189694</v>
      </c>
      <c r="I68" t="n">
        <v>8</v>
      </c>
      <c r="J68" t="n">
        <v>13.3</v>
      </c>
      <c r="K68" t="n">
        <v>21.3</v>
      </c>
      <c r="L68" t="inlineStr">
        <is>
          <t>Primary</t>
        </is>
      </c>
    </row>
    <row r="69">
      <c r="A69" t="n">
        <v>3</v>
      </c>
      <c r="B69" s="20" t="inlineStr">
        <is>
          <t>S01</t>
        </is>
      </c>
      <c r="C69" t="inlineStr">
        <is>
          <t>PZ-A</t>
        </is>
      </c>
      <c r="D69" t="n">
        <v>2</v>
      </c>
      <c r="E69" t="inlineStr">
        <is>
          <t>H0881</t>
        </is>
      </c>
      <c r="F69" t="inlineStr">
        <is>
          <t>桃園市蘆竹區(大園區)八股路171巷250號-青埔段195號-大園重劃區-附地標</t>
        </is>
      </c>
      <c r="G69" t="n">
        <v>25.032892</v>
      </c>
      <c r="H69" t="n">
        <v>121.212481</v>
      </c>
      <c r="I69" t="n">
        <v>8</v>
      </c>
      <c r="J69" t="n">
        <v>6.3</v>
      </c>
      <c r="K69" t="n">
        <v>35.6</v>
      </c>
      <c r="L69" t="inlineStr">
        <is>
          <t>Primary</t>
        </is>
      </c>
    </row>
    <row r="70">
      <c r="A70" t="n">
        <v>3</v>
      </c>
      <c r="B70" s="20" t="inlineStr">
        <is>
          <t>S01</t>
        </is>
      </c>
      <c r="C70" t="inlineStr">
        <is>
          <t>PZ-A</t>
        </is>
      </c>
      <c r="D70" t="n">
        <v>3</v>
      </c>
      <c r="E70" t="inlineStr">
        <is>
          <t>H0219</t>
        </is>
      </c>
      <c r="F70" t="inlineStr">
        <is>
          <t>桃園市大園區青埔段261地號-大園重劃區-附地標</t>
        </is>
      </c>
      <c r="G70" t="n">
        <v>25.032778</v>
      </c>
      <c r="H70" t="n">
        <v>121.213058</v>
      </c>
      <c r="I70" t="n">
        <v>8</v>
      </c>
      <c r="J70" t="n">
        <v>2</v>
      </c>
      <c r="K70" t="n">
        <v>45.6</v>
      </c>
      <c r="L70" t="inlineStr">
        <is>
          <t>Primary</t>
        </is>
      </c>
    </row>
    <row r="71">
      <c r="A71" t="n">
        <v>3</v>
      </c>
      <c r="B71" s="20" t="inlineStr">
        <is>
          <t>S01</t>
        </is>
      </c>
      <c r="C71" t="inlineStr">
        <is>
          <t>PZ-A</t>
        </is>
      </c>
      <c r="D71" t="n">
        <v>4</v>
      </c>
      <c r="E71" t="inlineStr">
        <is>
          <t>H0145</t>
        </is>
      </c>
      <c r="F71" t="inlineStr">
        <is>
          <t>桃園市大園區中山南路二段187巷進去</t>
        </is>
      </c>
      <c r="G71" t="n">
        <v>25.033064</v>
      </c>
      <c r="H71" t="n">
        <v>121.213158</v>
      </c>
      <c r="I71" t="n">
        <v>8</v>
      </c>
      <c r="J71" t="n">
        <v>2</v>
      </c>
      <c r="K71" t="n">
        <v>55.6</v>
      </c>
      <c r="L71" t="inlineStr">
        <is>
          <t>Primary</t>
        </is>
      </c>
    </row>
    <row r="72">
      <c r="A72" t="n">
        <v>3</v>
      </c>
      <c r="B72" s="20" t="inlineStr">
        <is>
          <t>S01</t>
        </is>
      </c>
      <c r="C72" t="inlineStr">
        <is>
          <t>PZ-A</t>
        </is>
      </c>
      <c r="D72" t="n">
        <v>5</v>
      </c>
      <c r="E72" t="inlineStr">
        <is>
          <t>H0144</t>
        </is>
      </c>
      <c r="F72" t="inlineStr">
        <is>
          <t>桃園市大園區中山南路二段187巷內</t>
        </is>
      </c>
      <c r="G72" t="n">
        <v>25.033616</v>
      </c>
      <c r="H72" t="n">
        <v>121.213528</v>
      </c>
      <c r="I72" t="n">
        <v>8</v>
      </c>
      <c r="J72" t="n">
        <v>2</v>
      </c>
      <c r="K72" t="n">
        <v>65.59999999999999</v>
      </c>
      <c r="L72" t="inlineStr">
        <is>
          <t>Primary</t>
        </is>
      </c>
    </row>
    <row r="73">
      <c r="A73" t="n">
        <v>3</v>
      </c>
      <c r="B73" s="20" t="inlineStr">
        <is>
          <t>S01</t>
        </is>
      </c>
      <c r="C73" t="inlineStr">
        <is>
          <t>PZ-A</t>
        </is>
      </c>
      <c r="D73" t="n">
        <v>6</v>
      </c>
      <c r="E73" t="inlineStr">
        <is>
          <t>H0142</t>
        </is>
      </c>
      <c r="F73" t="inlineStr">
        <is>
          <t>桃園市大園區中山南路二段117號25°02'01.4"N 121°12'48.9"E</t>
        </is>
      </c>
      <c r="G73" t="n">
        <v>25.0336315</v>
      </c>
      <c r="H73" t="n">
        <v>121.2136125</v>
      </c>
      <c r="I73" t="n">
        <v>16</v>
      </c>
      <c r="J73" t="n">
        <v>2</v>
      </c>
      <c r="K73" t="n">
        <v>83.59999999999999</v>
      </c>
      <c r="L73" t="inlineStr">
        <is>
          <t>Primary</t>
        </is>
      </c>
    </row>
    <row r="74">
      <c r="A74" t="n">
        <v>3</v>
      </c>
      <c r="B74" s="20" t="inlineStr">
        <is>
          <t>S01</t>
        </is>
      </c>
      <c r="C74" t="inlineStr">
        <is>
          <t>PZ-A</t>
        </is>
      </c>
      <c r="D74" t="n">
        <v>7</v>
      </c>
      <c r="E74" t="inlineStr">
        <is>
          <t>H0143</t>
        </is>
      </c>
      <c r="F74" t="inlineStr">
        <is>
          <t>桃園市大園區中山南路二段187巷157號-航空城-青埔段197地號</t>
        </is>
      </c>
      <c r="G74" t="n">
        <v>25.033739</v>
      </c>
      <c r="H74" t="n">
        <v>121.213875</v>
      </c>
      <c r="I74" t="n">
        <v>8</v>
      </c>
      <c r="J74" t="n">
        <v>2</v>
      </c>
      <c r="K74" t="n">
        <v>93.59999999999999</v>
      </c>
      <c r="L74" t="inlineStr">
        <is>
          <t>Primary</t>
        </is>
      </c>
    </row>
    <row r="75">
      <c r="A75" t="n">
        <v>3</v>
      </c>
      <c r="B75" s="20" t="inlineStr">
        <is>
          <t>S01</t>
        </is>
      </c>
      <c r="C75" t="inlineStr">
        <is>
          <t>PZ-A</t>
        </is>
      </c>
      <c r="D75" t="n">
        <v>8</v>
      </c>
      <c r="E75" t="inlineStr">
        <is>
          <t>H0230</t>
        </is>
      </c>
      <c r="F75" t="inlineStr">
        <is>
          <t>桃園市大園區埔心里埔心77-12號旁組合屋(工務所)-帶過去定位點</t>
        </is>
      </c>
      <c r="G75" t="n">
        <v>25.043889</v>
      </c>
      <c r="H75" t="n">
        <v>121.217892</v>
      </c>
      <c r="I75" t="n">
        <v>48</v>
      </c>
      <c r="J75" t="n">
        <v>3</v>
      </c>
      <c r="K75" t="n">
        <v>144.6</v>
      </c>
      <c r="L75" t="inlineStr">
        <is>
          <t>Primary</t>
        </is>
      </c>
    </row>
    <row r="76">
      <c r="A76" t="n">
        <v>3</v>
      </c>
      <c r="B76" s="20" t="inlineStr">
        <is>
          <t>S01</t>
        </is>
      </c>
      <c r="C76" t="inlineStr">
        <is>
          <t>PZ-A</t>
        </is>
      </c>
      <c r="D76" t="n">
        <v>9</v>
      </c>
      <c r="E76" t="inlineStr">
        <is>
          <t>H0138</t>
        </is>
      </c>
      <c r="F76" t="inlineStr">
        <is>
          <t>桃園市大園區中山南路686號附近-電聯帶定位</t>
        </is>
      </c>
      <c r="G76" t="n">
        <v>25.047583</v>
      </c>
      <c r="H76" t="n">
        <v>121.213617</v>
      </c>
      <c r="I76" t="n">
        <v>8</v>
      </c>
      <c r="J76" t="n">
        <v>3</v>
      </c>
      <c r="K76" t="n">
        <v>155.6</v>
      </c>
      <c r="L76" t="inlineStr">
        <is>
          <t>Primary</t>
        </is>
      </c>
    </row>
    <row r="77">
      <c r="A77" t="n">
        <v>3</v>
      </c>
      <c r="B77" s="20" t="inlineStr">
        <is>
          <t>S01</t>
        </is>
      </c>
      <c r="C77" t="inlineStr">
        <is>
          <t>PZ-A</t>
        </is>
      </c>
      <c r="D77" t="n">
        <v>10</v>
      </c>
      <c r="E77" t="inlineStr">
        <is>
          <t>H0140</t>
        </is>
      </c>
      <c r="F77" t="inlineStr">
        <is>
          <t>桃園市大園區中山南路一段227巷9弄9號-電聯定位</t>
        </is>
      </c>
      <c r="G77" t="n">
        <v>25.045805</v>
      </c>
      <c r="H77" t="n">
        <v>121.212042</v>
      </c>
      <c r="I77" t="n">
        <v>8</v>
      </c>
      <c r="J77" t="n">
        <v>3</v>
      </c>
      <c r="K77" t="n">
        <v>166.6</v>
      </c>
      <c r="L77" t="inlineStr">
        <is>
          <t>Primary</t>
        </is>
      </c>
    </row>
    <row r="78">
      <c r="A78" t="n">
        <v>3</v>
      </c>
      <c r="B78" s="20" t="inlineStr">
        <is>
          <t>S01</t>
        </is>
      </c>
      <c r="C78" t="inlineStr">
        <is>
          <t>PZ-A</t>
        </is>
      </c>
      <c r="D78" t="n">
        <v>11</v>
      </c>
      <c r="E78" t="inlineStr">
        <is>
          <t>H0141</t>
        </is>
      </c>
      <c r="F78" t="inlineStr">
        <is>
          <t>桃園市大園區中山南路一段277巷97號附近工地</t>
        </is>
      </c>
      <c r="G78" t="n">
        <v>25.04706366666667</v>
      </c>
      <c r="H78" t="n">
        <v>121.2098425</v>
      </c>
      <c r="I78" t="n">
        <v>48</v>
      </c>
      <c r="J78" t="n">
        <v>3</v>
      </c>
      <c r="K78" t="n">
        <v>217.6</v>
      </c>
      <c r="L78" t="inlineStr">
        <is>
          <t>Primary</t>
        </is>
      </c>
    </row>
    <row r="79">
      <c r="A79" t="n">
        <v>3</v>
      </c>
      <c r="B79" s="20" t="inlineStr">
        <is>
          <t>S01</t>
        </is>
      </c>
      <c r="C79" t="inlineStr">
        <is>
          <t>PZ-A</t>
        </is>
      </c>
      <c r="D79" t="n">
        <v>12</v>
      </c>
      <c r="E79" t="inlineStr">
        <is>
          <t>H0139</t>
        </is>
      </c>
      <c r="F79" t="inlineStr">
        <is>
          <t>桃園市大園區中山南路686號旁(義力工務所)</t>
        </is>
      </c>
      <c r="G79" t="n">
        <v>25.048615</v>
      </c>
      <c r="H79" t="n">
        <v>121.2044155</v>
      </c>
      <c r="I79" t="n">
        <v>64</v>
      </c>
      <c r="J79" t="n">
        <v>3</v>
      </c>
      <c r="K79" t="n">
        <v>284.6</v>
      </c>
      <c r="L79" t="inlineStr">
        <is>
          <t>Primary</t>
        </is>
      </c>
    </row>
    <row r="80">
      <c r="A80" t="n">
        <v>3</v>
      </c>
      <c r="B80" s="20" t="inlineStr">
        <is>
          <t>S01</t>
        </is>
      </c>
      <c r="C80" t="inlineStr">
        <is>
          <t>PZ-A</t>
        </is>
      </c>
      <c r="D80" t="n">
        <v>13</v>
      </c>
      <c r="E80" t="inlineStr">
        <is>
          <t>H0252</t>
        </is>
      </c>
      <c r="F80" t="inlineStr">
        <is>
          <t>桃園市大園區華興路二段2號對面工地</t>
        </is>
      </c>
      <c r="G80" t="n">
        <v>25.048319</v>
      </c>
      <c r="H80" t="n">
        <v>121.198697</v>
      </c>
      <c r="I80" t="n">
        <v>8</v>
      </c>
      <c r="J80" t="n">
        <v>3</v>
      </c>
      <c r="K80" t="n">
        <v>295.6</v>
      </c>
      <c r="L80" t="inlineStr">
        <is>
          <t>Primary</t>
        </is>
      </c>
    </row>
    <row r="81">
      <c r="A81" t="n">
        <v>3</v>
      </c>
      <c r="B81" s="20" t="inlineStr">
        <is>
          <t>S01</t>
        </is>
      </c>
      <c r="C81" t="inlineStr">
        <is>
          <t>PZ-A</t>
        </is>
      </c>
      <c r="D81" t="n">
        <v>14</v>
      </c>
      <c r="E81" t="inlineStr">
        <is>
          <t>H0209</t>
        </is>
      </c>
      <c r="F81" t="inlineStr">
        <is>
          <t>桃園市大園區坑?路218巷口(橋頭邊)-捷運工地-(37號)</t>
        </is>
      </c>
      <c r="G81" t="n">
        <v>25.0492632</v>
      </c>
      <c r="H81" t="n">
        <v>121.193945</v>
      </c>
      <c r="I81" t="n">
        <v>16</v>
      </c>
      <c r="J81" t="n">
        <v>3</v>
      </c>
      <c r="K81" t="n">
        <v>314.6</v>
      </c>
      <c r="L81" t="inlineStr">
        <is>
          <t>Primary</t>
        </is>
      </c>
    </row>
    <row r="82">
      <c r="A82" t="n">
        <v>3</v>
      </c>
      <c r="B82" s="20" t="inlineStr">
        <is>
          <t>S01</t>
        </is>
      </c>
      <c r="C82" t="inlineStr">
        <is>
          <t>PZ-A</t>
        </is>
      </c>
      <c r="D82" t="n">
        <v>15</v>
      </c>
      <c r="E82" t="inlineStr">
        <is>
          <t>H0180</t>
        </is>
      </c>
      <c r="F82" t="inlineStr">
        <is>
          <t>桃園市大園區文興街&amp;園六街交叉口工地</t>
        </is>
      </c>
      <c r="G82" t="n">
        <v>25.054322</v>
      </c>
      <c r="H82" t="n">
        <v>121.17925</v>
      </c>
      <c r="I82" t="n">
        <v>8</v>
      </c>
      <c r="J82" t="n">
        <v>3.8</v>
      </c>
      <c r="K82" t="n">
        <v>326.4</v>
      </c>
      <c r="L82" t="inlineStr">
        <is>
          <t>Primary</t>
        </is>
      </c>
    </row>
    <row r="83">
      <c r="A83" t="n">
        <v>3</v>
      </c>
      <c r="B83" s="20" t="inlineStr">
        <is>
          <t>S01</t>
        </is>
      </c>
      <c r="C83" t="inlineStr">
        <is>
          <t>PZ-A</t>
        </is>
      </c>
      <c r="D83" t="n">
        <v>16</v>
      </c>
      <c r="E83" t="inlineStr">
        <is>
          <t>H0182</t>
        </is>
      </c>
      <c r="F83" t="inlineStr">
        <is>
          <t>桃園市大園區文興街117號隔壁</t>
        </is>
      </c>
      <c r="G83" t="n">
        <v>25.054483</v>
      </c>
      <c r="H83" t="n">
        <v>121.179153</v>
      </c>
      <c r="I83" t="n">
        <v>16</v>
      </c>
      <c r="J83" t="n">
        <v>2</v>
      </c>
      <c r="K83" t="n">
        <v>344.4</v>
      </c>
      <c r="L83" t="inlineStr">
        <is>
          <t>Primary</t>
        </is>
      </c>
    </row>
    <row r="84">
      <c r="A84" t="n">
        <v>3</v>
      </c>
      <c r="B84" s="20" t="inlineStr">
        <is>
          <t>S01</t>
        </is>
      </c>
      <c r="C84" t="inlineStr">
        <is>
          <t>PZ-A</t>
        </is>
      </c>
      <c r="D84" t="n">
        <v>17</v>
      </c>
      <c r="E84" t="inlineStr">
        <is>
          <t>H0181</t>
        </is>
      </c>
      <c r="F84" t="inlineStr">
        <is>
          <t>桃園市大園區文興街111號</t>
        </is>
      </c>
      <c r="G84" t="n">
        <v>25.053747</v>
      </c>
      <c r="H84" t="n">
        <v>121.178784</v>
      </c>
      <c r="I84" t="n">
        <v>8</v>
      </c>
      <c r="J84" t="n">
        <v>2</v>
      </c>
      <c r="K84" t="n">
        <v>354.4</v>
      </c>
      <c r="L84" t="inlineStr">
        <is>
          <t>Primary</t>
        </is>
      </c>
    </row>
    <row r="85">
      <c r="A85" t="n">
        <v>3</v>
      </c>
      <c r="B85" s="20" t="inlineStr">
        <is>
          <t>S01</t>
        </is>
      </c>
      <c r="C85" t="inlineStr">
        <is>
          <t>PZ-A</t>
        </is>
      </c>
      <c r="D85" t="n">
        <v>18</v>
      </c>
      <c r="E85" t="inlineStr">
        <is>
          <t>H0276</t>
        </is>
      </c>
      <c r="F85" t="inlineStr">
        <is>
          <t>桃園市大園區環區東路&amp;園九街口交叉口</t>
        </is>
      </c>
      <c r="G85" t="n">
        <v>25.051144</v>
      </c>
      <c r="H85" t="n">
        <v>121.177045</v>
      </c>
      <c r="I85" t="n">
        <v>16</v>
      </c>
      <c r="J85" t="n">
        <v>3</v>
      </c>
      <c r="K85" t="n">
        <v>373.4</v>
      </c>
      <c r="L85" t="inlineStr">
        <is>
          <t>Primary</t>
        </is>
      </c>
    </row>
    <row r="86">
      <c r="A86" t="n">
        <v>3</v>
      </c>
      <c r="B86" s="20" t="inlineStr">
        <is>
          <t>S01</t>
        </is>
      </c>
      <c r="C86" t="inlineStr">
        <is>
          <t>PZ-A</t>
        </is>
      </c>
      <c r="D86" t="n">
        <v>19</v>
      </c>
      <c r="E86" t="inlineStr">
        <is>
          <t>H0183</t>
        </is>
      </c>
      <c r="F86" t="inlineStr">
        <is>
          <t>桃園市大園區文興街20巷1號斜對面工地-電聯定位</t>
        </is>
      </c>
      <c r="G86" t="n">
        <v>25.051094</v>
      </c>
      <c r="H86" t="n">
        <v>121.175436</v>
      </c>
      <c r="I86" t="n">
        <v>32</v>
      </c>
      <c r="J86" t="n">
        <v>3</v>
      </c>
      <c r="K86" t="n">
        <v>408.4</v>
      </c>
      <c r="L86" t="inlineStr">
        <is>
          <t>Primary</t>
        </is>
      </c>
    </row>
    <row r="87">
      <c r="A87" t="n">
        <v>3</v>
      </c>
      <c r="B87" s="20" t="inlineStr">
        <is>
          <t>S01</t>
        </is>
      </c>
      <c r="C87" t="inlineStr">
        <is>
          <t>PZ-A</t>
        </is>
      </c>
      <c r="D87" t="n">
        <v>20</v>
      </c>
      <c r="E87" t="inlineStr">
        <is>
          <t>H0183</t>
        </is>
      </c>
      <c r="F87" t="inlineStr">
        <is>
          <t>桃園市大園區文興街20巷1號斜對面工地-電聯定位</t>
        </is>
      </c>
      <c r="G87" t="n">
        <v>25.050808</v>
      </c>
      <c r="H87" t="n">
        <v>121.175235</v>
      </c>
      <c r="I87" t="n">
        <v>32</v>
      </c>
      <c r="J87" t="n">
        <v>2</v>
      </c>
      <c r="K87" t="n">
        <v>442.4</v>
      </c>
      <c r="L87" t="inlineStr">
        <is>
          <t>Primary</t>
        </is>
      </c>
    </row>
    <row r="88">
      <c r="A88" t="n">
        <v>3</v>
      </c>
      <c r="B88" s="20" t="inlineStr">
        <is>
          <t>S01</t>
        </is>
      </c>
      <c r="C88" t="inlineStr">
        <is>
          <t>PZ-A</t>
        </is>
      </c>
      <c r="D88" t="n">
        <v>21</v>
      </c>
      <c r="E88" t="inlineStr">
        <is>
          <t>H0222</t>
        </is>
      </c>
      <c r="F88" t="inlineStr">
        <is>
          <t>桃園市大園區南區中路-附座標</t>
        </is>
      </c>
      <c r="G88" t="n">
        <v>25.053789</v>
      </c>
      <c r="H88" t="n">
        <v>121.173989</v>
      </c>
      <c r="I88" t="n">
        <v>8</v>
      </c>
      <c r="J88" t="n">
        <v>3</v>
      </c>
      <c r="K88" t="n">
        <v>453.4</v>
      </c>
      <c r="L88" t="inlineStr">
        <is>
          <t>Primary</t>
        </is>
      </c>
    </row>
    <row r="89">
      <c r="A89" t="n">
        <v>3</v>
      </c>
      <c r="B89" s="20" t="inlineStr">
        <is>
          <t>S01</t>
        </is>
      </c>
      <c r="C89" t="inlineStr">
        <is>
          <t>PZ-A</t>
        </is>
      </c>
      <c r="D89" t="n">
        <v>22</v>
      </c>
      <c r="E89" t="inlineStr">
        <is>
          <t>H0240</t>
        </is>
      </c>
      <c r="F89" t="inlineStr">
        <is>
          <t>桃園市大園區航科路&amp;園航路交叉口</t>
        </is>
      </c>
      <c r="G89" t="n">
        <v>25.057719</v>
      </c>
      <c r="H89" t="n">
        <v>121.177942</v>
      </c>
      <c r="I89" t="n">
        <v>8</v>
      </c>
      <c r="J89" t="n">
        <v>3</v>
      </c>
      <c r="K89" t="n">
        <v>464.4</v>
      </c>
      <c r="L89" t="inlineStr">
        <is>
          <t>Primary</t>
        </is>
      </c>
    </row>
    <row r="90">
      <c r="A90" t="n">
        <v>3</v>
      </c>
      <c r="B90" s="20" t="inlineStr">
        <is>
          <t>S01</t>
        </is>
      </c>
      <c r="C90" t="inlineStr">
        <is>
          <t>PZ-A</t>
        </is>
      </c>
      <c r="D90" t="n">
        <v>23</v>
      </c>
      <c r="E90" t="inlineStr">
        <is>
          <t>H0133</t>
        </is>
      </c>
      <c r="F90" t="inlineStr">
        <is>
          <t>桃園市大園區大觀路624巷&amp;園航路交叉-夜市</t>
        </is>
      </c>
      <c r="G90" t="n">
        <v>25.061142</v>
      </c>
      <c r="H90" t="n">
        <v>121.175039</v>
      </c>
      <c r="I90" t="n">
        <v>48</v>
      </c>
      <c r="J90" t="n">
        <v>3</v>
      </c>
      <c r="K90" t="n">
        <v>515.4</v>
      </c>
      <c r="L90" t="inlineStr">
        <is>
          <t>Primary</t>
        </is>
      </c>
    </row>
    <row r="91">
      <c r="A91" t="n">
        <v>4</v>
      </c>
      <c r="B91" s="20" t="inlineStr">
        <is>
          <t>S01</t>
        </is>
      </c>
      <c r="C91" t="inlineStr">
        <is>
          <t>PZ-A</t>
        </is>
      </c>
      <c r="D91" t="n">
        <v>1</v>
      </c>
      <c r="E91" t="inlineStr">
        <is>
          <t>H0951</t>
        </is>
      </c>
      <c r="F91" t="inlineStr">
        <is>
          <t>桃園市蘆竹區南竹路四段與富宏街口</t>
        </is>
      </c>
      <c r="G91" t="n">
        <v>25.030317</v>
      </c>
      <c r="H91" t="n">
        <v>121.267106</v>
      </c>
      <c r="I91" t="n">
        <v>8</v>
      </c>
      <c r="J91" t="n">
        <v>14.3</v>
      </c>
      <c r="K91" t="n">
        <v>22.3</v>
      </c>
      <c r="L91" t="inlineStr">
        <is>
          <t>Primary</t>
        </is>
      </c>
    </row>
    <row r="92">
      <c r="A92" t="n">
        <v>4</v>
      </c>
      <c r="B92" s="20" t="inlineStr">
        <is>
          <t>S01</t>
        </is>
      </c>
      <c r="C92" t="inlineStr">
        <is>
          <t>PZ-A</t>
        </is>
      </c>
      <c r="D92" t="n">
        <v>2</v>
      </c>
      <c r="E92" t="inlineStr">
        <is>
          <t>H0920</t>
        </is>
      </c>
      <c r="F92" t="inlineStr">
        <is>
          <t>桃園市蘆竹區中正北路(座標定位)-電聯定位</t>
        </is>
      </c>
      <c r="G92" t="n">
        <v>25.04965</v>
      </c>
      <c r="H92" t="n">
        <v>121.275759</v>
      </c>
      <c r="I92" t="n">
        <v>16</v>
      </c>
      <c r="J92" t="n">
        <v>5.6</v>
      </c>
      <c r="K92" t="n">
        <v>43.9</v>
      </c>
      <c r="L92" t="inlineStr">
        <is>
          <t>Primary</t>
        </is>
      </c>
    </row>
    <row r="93">
      <c r="A93" t="n">
        <v>4</v>
      </c>
      <c r="B93" s="20" t="inlineStr">
        <is>
          <t>S01</t>
        </is>
      </c>
      <c r="C93" t="inlineStr">
        <is>
          <t>PZ-A</t>
        </is>
      </c>
      <c r="D93" t="n">
        <v>3</v>
      </c>
      <c r="E93" t="inlineStr">
        <is>
          <t>H0922</t>
        </is>
      </c>
      <c r="F93" t="inlineStr">
        <is>
          <t>桃園市蘆竹區中正北路與南竹路二段交叉口捷運G13工地-電聯定位</t>
        </is>
      </c>
      <c r="G93" t="n">
        <v>25.04965</v>
      </c>
      <c r="H93" t="n">
        <v>121.275759</v>
      </c>
      <c r="I93" t="n">
        <v>16</v>
      </c>
      <c r="J93" t="n">
        <v>2</v>
      </c>
      <c r="K93" t="n">
        <v>61.9</v>
      </c>
      <c r="L93" t="inlineStr">
        <is>
          <t>Primary</t>
        </is>
      </c>
    </row>
    <row r="94">
      <c r="A94" t="n">
        <v>4</v>
      </c>
      <c r="B94" s="20" t="inlineStr">
        <is>
          <t>S01</t>
        </is>
      </c>
      <c r="C94" t="inlineStr">
        <is>
          <t>PZ-A</t>
        </is>
      </c>
      <c r="D94" t="n">
        <v>4</v>
      </c>
      <c r="E94" t="inlineStr">
        <is>
          <t>H0971</t>
        </is>
      </c>
      <c r="F94" t="inlineStr">
        <is>
          <t>桃園市蘆竹區榮安路8號旁</t>
        </is>
      </c>
      <c r="G94" t="n">
        <v>25.0608758</v>
      </c>
      <c r="H94" t="n">
        <v>121.2839269</v>
      </c>
      <c r="I94" t="n">
        <v>48</v>
      </c>
      <c r="J94" t="n">
        <v>3.6</v>
      </c>
      <c r="K94" t="n">
        <v>113.5</v>
      </c>
      <c r="L94" t="inlineStr">
        <is>
          <t>Primary</t>
        </is>
      </c>
    </row>
    <row r="95">
      <c r="A95" t="n">
        <v>4</v>
      </c>
      <c r="B95" s="20" t="inlineStr">
        <is>
          <t>S01</t>
        </is>
      </c>
      <c r="C95" t="inlineStr">
        <is>
          <t>PZ-A</t>
        </is>
      </c>
      <c r="D95" t="n">
        <v>5</v>
      </c>
      <c r="E95" t="inlineStr">
        <is>
          <t>H0927</t>
        </is>
      </c>
      <c r="F95" t="inlineStr">
        <is>
          <t>桃園市蘆竹區內新路129號之1隔壁工地</t>
        </is>
      </c>
      <c r="G95" t="n">
        <v>25.07052</v>
      </c>
      <c r="H95" t="n">
        <v>121.290286</v>
      </c>
      <c r="I95" t="n">
        <v>8</v>
      </c>
      <c r="J95" t="n">
        <v>3</v>
      </c>
      <c r="K95" t="n">
        <v>124.5</v>
      </c>
      <c r="L95" t="inlineStr">
        <is>
          <t>Primary</t>
        </is>
      </c>
    </row>
    <row r="96">
      <c r="A96" t="n">
        <v>4</v>
      </c>
      <c r="B96" s="20" t="inlineStr">
        <is>
          <t>S01</t>
        </is>
      </c>
      <c r="C96" t="inlineStr">
        <is>
          <t>PZ-A</t>
        </is>
      </c>
      <c r="D96" t="n">
        <v>6</v>
      </c>
      <c r="E96" t="inlineStr">
        <is>
          <t>H0945</t>
        </is>
      </c>
      <c r="F96" t="inlineStr">
        <is>
          <t>桃園市蘆竹區南山路二段498之2號</t>
        </is>
      </c>
      <c r="G96" t="n">
        <v>25.073911</v>
      </c>
      <c r="H96" t="n">
        <v>121.285719</v>
      </c>
      <c r="I96" t="n">
        <v>56</v>
      </c>
      <c r="J96" t="n">
        <v>3</v>
      </c>
      <c r="K96" t="n">
        <v>183.5</v>
      </c>
      <c r="L96" t="inlineStr">
        <is>
          <t>Primary</t>
        </is>
      </c>
    </row>
    <row r="97">
      <c r="A97" t="n">
        <v>4</v>
      </c>
      <c r="B97" s="20" t="inlineStr">
        <is>
          <t>S01</t>
        </is>
      </c>
      <c r="C97" t="inlineStr">
        <is>
          <t>PZ-A</t>
        </is>
      </c>
      <c r="D97" t="n">
        <v>7</v>
      </c>
      <c r="E97" t="inlineStr">
        <is>
          <t>H0947</t>
        </is>
      </c>
      <c r="F97" t="inlineStr">
        <is>
          <t>桃園市蘆竹區南山路三段17巷11號</t>
        </is>
      </c>
      <c r="G97" t="n">
        <v>25.076814</v>
      </c>
      <c r="H97" t="n">
        <v>121.282495</v>
      </c>
      <c r="I97" t="n">
        <v>8</v>
      </c>
      <c r="J97" t="n">
        <v>3</v>
      </c>
      <c r="K97" t="n">
        <v>194.5</v>
      </c>
      <c r="L97" t="inlineStr">
        <is>
          <t>Primary</t>
        </is>
      </c>
    </row>
    <row r="98">
      <c r="A98" t="n">
        <v>4</v>
      </c>
      <c r="B98" s="20" t="inlineStr">
        <is>
          <t>S01</t>
        </is>
      </c>
      <c r="C98" t="inlineStr">
        <is>
          <t>PZ-A</t>
        </is>
      </c>
      <c r="D98" t="n">
        <v>8</v>
      </c>
      <c r="E98" t="inlineStr">
        <is>
          <t>H0915</t>
        </is>
      </c>
      <c r="F98" t="inlineStr">
        <is>
          <t>桃園市蘆竹區山鼻二路&amp;機捷路二段935巷</t>
        </is>
      </c>
      <c r="G98" t="n">
        <v>25.078778</v>
      </c>
      <c r="H98" t="n">
        <v>121.2832195</v>
      </c>
      <c r="I98" t="n">
        <v>16</v>
      </c>
      <c r="J98" t="n">
        <v>3</v>
      </c>
      <c r="K98" t="n">
        <v>213.5</v>
      </c>
      <c r="L98" t="inlineStr">
        <is>
          <t>Primary</t>
        </is>
      </c>
    </row>
    <row r="99">
      <c r="A99" t="n">
        <v>4</v>
      </c>
      <c r="B99" s="20" t="inlineStr">
        <is>
          <t>S01</t>
        </is>
      </c>
      <c r="C99" t="inlineStr">
        <is>
          <t>PZ-A</t>
        </is>
      </c>
      <c r="D99" t="n">
        <v>9</v>
      </c>
      <c r="E99" t="inlineStr">
        <is>
          <t>H0916</t>
        </is>
      </c>
      <c r="F99" t="inlineStr">
        <is>
          <t>桃園市蘆竹區山鼻二路88號對面</t>
        </is>
      </c>
      <c r="G99" t="n">
        <v>25.078498</v>
      </c>
      <c r="H99" t="n">
        <v>121.28408</v>
      </c>
      <c r="I99" t="n">
        <v>16</v>
      </c>
      <c r="J99" t="n">
        <v>2</v>
      </c>
      <c r="K99" t="n">
        <v>231.5</v>
      </c>
      <c r="L99" t="inlineStr">
        <is>
          <t>Primary</t>
        </is>
      </c>
    </row>
    <row r="100">
      <c r="A100" t="n">
        <v>4</v>
      </c>
      <c r="B100" s="20" t="inlineStr">
        <is>
          <t>S01</t>
        </is>
      </c>
      <c r="C100" t="inlineStr">
        <is>
          <t>PZ-A</t>
        </is>
      </c>
      <c r="D100" t="n">
        <v>10</v>
      </c>
      <c r="E100" t="inlineStr">
        <is>
          <t>H0973</t>
        </is>
      </c>
      <c r="F100" t="inlineStr">
        <is>
          <t>桃園市蘆竹區機捷路二段999巷</t>
        </is>
      </c>
      <c r="G100" t="n">
        <v>25.07965</v>
      </c>
      <c r="H100" t="n">
        <v>121.282061</v>
      </c>
      <c r="I100" t="n">
        <v>8</v>
      </c>
      <c r="J100" t="n">
        <v>3</v>
      </c>
      <c r="K100" t="n">
        <v>242.5</v>
      </c>
      <c r="L100" t="inlineStr">
        <is>
          <t>Primary</t>
        </is>
      </c>
    </row>
    <row r="101">
      <c r="A101" t="n">
        <v>4</v>
      </c>
      <c r="B101" s="20" t="inlineStr">
        <is>
          <t>S01</t>
        </is>
      </c>
      <c r="C101" t="inlineStr">
        <is>
          <t>PZ-A</t>
        </is>
      </c>
      <c r="D101" t="n">
        <v>11</v>
      </c>
      <c r="E101" t="inlineStr">
        <is>
          <t>H0972</t>
        </is>
      </c>
      <c r="F101" t="inlineStr">
        <is>
          <t>桃園市蘆竹區機捷路二段1005號旁</t>
        </is>
      </c>
      <c r="G101" t="n">
        <v>25.08037</v>
      </c>
      <c r="H101" t="n">
        <v>121.281111</v>
      </c>
      <c r="I101" t="n">
        <v>8</v>
      </c>
      <c r="J101" t="n">
        <v>3</v>
      </c>
      <c r="K101" t="n">
        <v>253.5</v>
      </c>
      <c r="L101" t="inlineStr">
        <is>
          <t>Primary</t>
        </is>
      </c>
    </row>
    <row r="102">
      <c r="A102" t="n">
        <v>4</v>
      </c>
      <c r="B102" s="20" t="inlineStr">
        <is>
          <t>S01</t>
        </is>
      </c>
      <c r="C102" t="inlineStr">
        <is>
          <t>PZ-A</t>
        </is>
      </c>
      <c r="D102" t="n">
        <v>12</v>
      </c>
      <c r="E102" t="inlineStr">
        <is>
          <t>H0946</t>
        </is>
      </c>
      <c r="F102" t="inlineStr">
        <is>
          <t>桃園市蘆竹區南山路三段155號旁-未央琚</t>
        </is>
      </c>
      <c r="G102" t="n">
        <v>25.081075</v>
      </c>
      <c r="H102" t="n">
        <v>121.284639</v>
      </c>
      <c r="I102" t="n">
        <v>8</v>
      </c>
      <c r="J102" t="n">
        <v>3</v>
      </c>
      <c r="K102" t="n">
        <v>264.5</v>
      </c>
      <c r="L102" t="inlineStr">
        <is>
          <t>Primary</t>
        </is>
      </c>
    </row>
    <row r="103">
      <c r="A103" t="n">
        <v>4</v>
      </c>
      <c r="B103" s="20" t="inlineStr">
        <is>
          <t>S01</t>
        </is>
      </c>
      <c r="C103" t="inlineStr">
        <is>
          <t>PZ-A</t>
        </is>
      </c>
      <c r="D103" t="n">
        <v>13</v>
      </c>
      <c r="E103" t="inlineStr">
        <is>
          <t>H0919</t>
        </is>
      </c>
      <c r="F103" t="inlineStr">
        <is>
          <t>桃園市蘆竹區山鼻路58號附近</t>
        </is>
      </c>
      <c r="G103" t="n">
        <v>25.082167</v>
      </c>
      <c r="H103" t="n">
        <v>121.289394</v>
      </c>
      <c r="I103" t="n">
        <v>8</v>
      </c>
      <c r="J103" t="n">
        <v>3</v>
      </c>
      <c r="K103" t="n">
        <v>275.5</v>
      </c>
      <c r="L103" t="inlineStr">
        <is>
          <t>Primary</t>
        </is>
      </c>
    </row>
    <row r="104">
      <c r="A104" t="n">
        <v>4</v>
      </c>
      <c r="B104" s="20" t="inlineStr">
        <is>
          <t>S01</t>
        </is>
      </c>
      <c r="C104" t="inlineStr">
        <is>
          <t>PZ-A</t>
        </is>
      </c>
      <c r="D104" t="n">
        <v>14</v>
      </c>
      <c r="E104" t="inlineStr">
        <is>
          <t>H0918</t>
        </is>
      </c>
      <c r="F104" t="inlineStr">
        <is>
          <t>桃園市蘆竹區山鼻站捷運A10站-附座標</t>
        </is>
      </c>
      <c r="G104" t="n">
        <v>25.079884</v>
      </c>
      <c r="H104" t="n">
        <v>121.290091</v>
      </c>
      <c r="I104" t="n">
        <v>8</v>
      </c>
      <c r="J104" t="n">
        <v>3</v>
      </c>
      <c r="K104" t="n">
        <v>286.5</v>
      </c>
      <c r="L104" t="inlineStr">
        <is>
          <t>Primary</t>
        </is>
      </c>
    </row>
    <row r="105">
      <c r="A105" t="n">
        <v>4</v>
      </c>
      <c r="B105" s="20" t="inlineStr">
        <is>
          <t>S01</t>
        </is>
      </c>
      <c r="C105" t="inlineStr">
        <is>
          <t>PZ-A</t>
        </is>
      </c>
      <c r="D105" t="n">
        <v>15</v>
      </c>
      <c r="E105" t="inlineStr">
        <is>
          <t>H0917</t>
        </is>
      </c>
      <c r="F105" t="inlineStr">
        <is>
          <t>桃園市蘆竹區山鼻站捷運A10站</t>
        </is>
      </c>
      <c r="G105" t="n">
        <v>25.079761</v>
      </c>
      <c r="H105" t="n">
        <v>121.289969</v>
      </c>
      <c r="I105" t="n">
        <v>8</v>
      </c>
      <c r="J105" t="n">
        <v>2</v>
      </c>
      <c r="K105" t="n">
        <v>296.5</v>
      </c>
      <c r="L105" t="inlineStr">
        <is>
          <t>Primary</t>
        </is>
      </c>
    </row>
    <row r="106">
      <c r="A106" t="n">
        <v>4</v>
      </c>
      <c r="B106" s="20" t="inlineStr">
        <is>
          <t>S01</t>
        </is>
      </c>
      <c r="C106" t="inlineStr">
        <is>
          <t>PZ-A</t>
        </is>
      </c>
      <c r="D106" t="n">
        <v>16</v>
      </c>
      <c r="E106" t="inlineStr">
        <is>
          <t>H0914</t>
        </is>
      </c>
      <c r="F106" t="inlineStr">
        <is>
          <t>桃園市蘆竹區山鼻一路&amp;埤腳街交叉口工地(公園旁)-1F</t>
        </is>
      </c>
      <c r="G106" t="n">
        <v>25.08002</v>
      </c>
      <c r="H106" t="n">
        <v>121.291333</v>
      </c>
      <c r="I106" t="n">
        <v>16</v>
      </c>
      <c r="J106" t="n">
        <v>3</v>
      </c>
      <c r="K106" t="n">
        <v>315.5</v>
      </c>
      <c r="L106" t="inlineStr">
        <is>
          <t>Primary</t>
        </is>
      </c>
    </row>
    <row r="107">
      <c r="A107" t="n">
        <v>4</v>
      </c>
      <c r="B107" s="20" t="inlineStr">
        <is>
          <t>S01</t>
        </is>
      </c>
      <c r="C107" t="inlineStr">
        <is>
          <t>PZ-A</t>
        </is>
      </c>
      <c r="D107" t="n">
        <v>17</v>
      </c>
      <c r="E107" t="inlineStr">
        <is>
          <t>H0913</t>
        </is>
      </c>
      <c r="F107" t="inlineStr">
        <is>
          <t>桃園市蘆竹區山林路一段27號旁</t>
        </is>
      </c>
      <c r="G107" t="n">
        <v>25.085341</v>
      </c>
      <c r="H107" t="n">
        <v>121.286952</v>
      </c>
      <c r="I107" t="n">
        <v>8</v>
      </c>
      <c r="J107" t="n">
        <v>3</v>
      </c>
      <c r="K107" t="n">
        <v>326.5</v>
      </c>
      <c r="L107" t="inlineStr">
        <is>
          <t>Primary</t>
        </is>
      </c>
    </row>
    <row r="108">
      <c r="A108" t="n">
        <v>4</v>
      </c>
      <c r="B108" s="20" t="inlineStr">
        <is>
          <t>S01</t>
        </is>
      </c>
      <c r="C108" t="inlineStr">
        <is>
          <t>PZ-A</t>
        </is>
      </c>
      <c r="D108" t="n">
        <v>18</v>
      </c>
      <c r="E108" t="inlineStr">
        <is>
          <t>H0943</t>
        </is>
      </c>
      <c r="F108" t="inlineStr">
        <is>
          <t>桃園市蘆竹區南山北路二段1號</t>
        </is>
      </c>
      <c r="G108" t="n">
        <v>25.094168</v>
      </c>
      <c r="H108" t="n">
        <v>121.27802475</v>
      </c>
      <c r="I108" t="n">
        <v>32</v>
      </c>
      <c r="J108" t="n">
        <v>3.2</v>
      </c>
      <c r="K108" t="n">
        <v>361.7</v>
      </c>
      <c r="L108" t="inlineStr">
        <is>
          <t>Primary</t>
        </is>
      </c>
    </row>
    <row r="109">
      <c r="A109" t="n">
        <v>4</v>
      </c>
      <c r="B109" s="20" t="inlineStr">
        <is>
          <t>S01</t>
        </is>
      </c>
      <c r="C109" t="inlineStr">
        <is>
          <t>PZ-A</t>
        </is>
      </c>
      <c r="D109" t="n">
        <v>19</v>
      </c>
      <c r="E109" t="inlineStr">
        <is>
          <t>H0942</t>
        </is>
      </c>
      <c r="F109" t="inlineStr">
        <is>
          <t>桃園市蘆竹區南山北路2段55號</t>
        </is>
      </c>
      <c r="G109" t="n">
        <v>25.096044</v>
      </c>
      <c r="H109" t="n">
        <v>121.27692</v>
      </c>
      <c r="I109" t="n">
        <v>24</v>
      </c>
      <c r="J109" t="n">
        <v>3</v>
      </c>
      <c r="K109" t="n">
        <v>388.7</v>
      </c>
      <c r="L109" t="inlineStr">
        <is>
          <t>Primary</t>
        </is>
      </c>
    </row>
    <row r="110">
      <c r="A110" t="n">
        <v>4</v>
      </c>
      <c r="B110" s="20" t="inlineStr">
        <is>
          <t>S01</t>
        </is>
      </c>
      <c r="C110" t="inlineStr">
        <is>
          <t>PZ-A</t>
        </is>
      </c>
      <c r="D110" t="n">
        <v>20</v>
      </c>
      <c r="E110" t="inlineStr">
        <is>
          <t>H0939</t>
        </is>
      </c>
      <c r="F110" t="inlineStr">
        <is>
          <t>桃園市蘆竹區油管路二段398號-台耀化學</t>
        </is>
      </c>
      <c r="G110" t="n">
        <v>25.092369</v>
      </c>
      <c r="H110" t="n">
        <v>121.274056</v>
      </c>
      <c r="I110" t="n">
        <v>16</v>
      </c>
      <c r="J110" t="n">
        <v>3</v>
      </c>
      <c r="K110" t="n">
        <v>407.7</v>
      </c>
      <c r="L110" t="inlineStr">
        <is>
          <t>Primary</t>
        </is>
      </c>
    </row>
    <row r="111">
      <c r="A111" t="n">
        <v>4</v>
      </c>
      <c r="B111" s="20" t="inlineStr">
        <is>
          <t>S01</t>
        </is>
      </c>
      <c r="C111" t="inlineStr">
        <is>
          <t>PZ-A</t>
        </is>
      </c>
      <c r="D111" t="n">
        <v>21</v>
      </c>
      <c r="E111" t="inlineStr">
        <is>
          <t>H0960</t>
        </is>
      </c>
      <c r="F111" t="inlineStr">
        <is>
          <t>桃園市蘆竹區海山路638號</t>
        </is>
      </c>
      <c r="G111" t="n">
        <v>25.09270133333333</v>
      </c>
      <c r="H111" t="n">
        <v>121.2715913333333</v>
      </c>
      <c r="I111" t="n">
        <v>24</v>
      </c>
      <c r="J111" t="n">
        <v>3</v>
      </c>
      <c r="K111" t="n">
        <v>434.7</v>
      </c>
      <c r="L111" t="inlineStr">
        <is>
          <t>Primary</t>
        </is>
      </c>
    </row>
    <row r="112">
      <c r="A112" t="n">
        <v>4</v>
      </c>
      <c r="B112" s="20" t="inlineStr">
        <is>
          <t>S01</t>
        </is>
      </c>
      <c r="C112" t="inlineStr">
        <is>
          <t>PZ-A</t>
        </is>
      </c>
      <c r="D112" t="n">
        <v>22</v>
      </c>
      <c r="E112" t="inlineStr">
        <is>
          <t>H0959</t>
        </is>
      </c>
      <c r="F112" t="inlineStr">
        <is>
          <t>桃園市蘆竹區海山路1段156號對面工地-分2處放(2+1)</t>
        </is>
      </c>
      <c r="G112" t="n">
        <v>25.093622</v>
      </c>
      <c r="H112" t="n">
        <v>121.26665</v>
      </c>
      <c r="I112" t="n">
        <v>8</v>
      </c>
      <c r="J112" t="n">
        <v>3</v>
      </c>
      <c r="K112" t="n">
        <v>445.7</v>
      </c>
      <c r="L112" t="inlineStr">
        <is>
          <t>Primary</t>
        </is>
      </c>
    </row>
    <row r="113">
      <c r="A113" t="n">
        <v>4</v>
      </c>
      <c r="B113" s="20" t="inlineStr">
        <is>
          <t>S01</t>
        </is>
      </c>
      <c r="C113" t="inlineStr">
        <is>
          <t>PZ-A</t>
        </is>
      </c>
      <c r="D113" t="n">
        <v>23</v>
      </c>
      <c r="E113" t="inlineStr">
        <is>
          <t>H0961</t>
        </is>
      </c>
      <c r="F113" t="inlineStr">
        <is>
          <t>桃園市蘆竹區海山路一段134號對面工地</t>
        </is>
      </c>
      <c r="G113" t="n">
        <v>25.089814</v>
      </c>
      <c r="H113" t="n">
        <v>121.264192</v>
      </c>
      <c r="I113" t="n">
        <v>16</v>
      </c>
      <c r="J113" t="n">
        <v>3</v>
      </c>
      <c r="K113" t="n">
        <v>464.7</v>
      </c>
      <c r="L113" t="inlineStr">
        <is>
          <t>Primary</t>
        </is>
      </c>
    </row>
    <row r="114">
      <c r="A114" t="n">
        <v>4</v>
      </c>
      <c r="B114" s="20" t="inlineStr">
        <is>
          <t>S01</t>
        </is>
      </c>
      <c r="C114" t="inlineStr">
        <is>
          <t>PZ-A</t>
        </is>
      </c>
      <c r="D114" t="n">
        <v>24</v>
      </c>
      <c r="E114" t="inlineStr">
        <is>
          <t>H0210</t>
        </is>
      </c>
      <c r="F114" t="inlineStr">
        <is>
          <t>桃園市大園區坑果路460號捷運工地(38號)</t>
        </is>
      </c>
      <c r="G114" t="n">
        <v>25.0876744</v>
      </c>
      <c r="H114" t="n">
        <v>121.2659329</v>
      </c>
      <c r="I114" t="n">
        <v>16</v>
      </c>
      <c r="J114" t="n">
        <v>3</v>
      </c>
      <c r="K114" t="n">
        <v>483.7</v>
      </c>
      <c r="L114" t="inlineStr">
        <is>
          <t>Primary</t>
        </is>
      </c>
    </row>
    <row r="115">
      <c r="A115" t="n">
        <v>4</v>
      </c>
      <c r="B115" s="20" t="inlineStr">
        <is>
          <t>S01</t>
        </is>
      </c>
      <c r="C115" t="inlineStr">
        <is>
          <t>PZ-A</t>
        </is>
      </c>
      <c r="D115" t="n">
        <v>25</v>
      </c>
      <c r="E115" t="inlineStr">
        <is>
          <t>H0210</t>
        </is>
      </c>
      <c r="F115" t="inlineStr">
        <is>
          <t>桃園市大園區坑果路460號捷運工地(38號)</t>
        </is>
      </c>
      <c r="G115" t="n">
        <v>25.085133</v>
      </c>
      <c r="H115" t="n">
        <v>121.26555</v>
      </c>
      <c r="I115" t="n">
        <v>16</v>
      </c>
      <c r="J115" t="n">
        <v>3</v>
      </c>
      <c r="K115" t="n">
        <v>502.7</v>
      </c>
      <c r="L115" t="inlineStr">
        <is>
          <t>Primary</t>
        </is>
      </c>
    </row>
    <row r="116">
      <c r="A116" t="n">
        <v>4</v>
      </c>
      <c r="B116" s="20" t="inlineStr">
        <is>
          <t>S01</t>
        </is>
      </c>
      <c r="C116" t="inlineStr">
        <is>
          <t>PZ-A</t>
        </is>
      </c>
      <c r="D116" t="n">
        <v>26</v>
      </c>
      <c r="E116" t="inlineStr">
        <is>
          <t>H0932</t>
        </is>
      </c>
      <c r="F116" t="inlineStr">
        <is>
          <t>桃園市蘆竹區圳岸街25號-誠聖段51地號-附地標</t>
        </is>
      </c>
      <c r="G116" t="n">
        <v>25.086336</v>
      </c>
      <c r="H116" t="n">
        <v>121.269364</v>
      </c>
      <c r="I116" t="n">
        <v>8</v>
      </c>
      <c r="J116" t="n">
        <v>3</v>
      </c>
      <c r="K116" t="n">
        <v>513.7</v>
      </c>
      <c r="L116" t="inlineStr">
        <is>
          <t>Primary</t>
        </is>
      </c>
    </row>
    <row r="117">
      <c r="A117" t="n">
        <v>5</v>
      </c>
      <c r="B117" s="20" t="inlineStr">
        <is>
          <t>S01</t>
        </is>
      </c>
      <c r="C117" t="inlineStr">
        <is>
          <t>PZ-A</t>
        </is>
      </c>
      <c r="D117" t="n">
        <v>1</v>
      </c>
      <c r="E117" t="inlineStr">
        <is>
          <t>H0967</t>
        </is>
      </c>
      <c r="F117" t="inlineStr">
        <is>
          <t>桃園市蘆竹區富華段230地號-大園重劃區-附地標</t>
        </is>
      </c>
      <c r="G117" t="n">
        <v>25.057925</v>
      </c>
      <c r="H117" t="n">
        <v>121.253281</v>
      </c>
      <c r="I117" t="n">
        <v>8</v>
      </c>
      <c r="J117" t="n">
        <v>17</v>
      </c>
      <c r="K117" t="n">
        <v>25</v>
      </c>
      <c r="L117" t="inlineStr">
        <is>
          <t>Primary</t>
        </is>
      </c>
    </row>
    <row r="118">
      <c r="A118" t="n">
        <v>5</v>
      </c>
      <c r="B118" s="20" t="inlineStr">
        <is>
          <t>S01</t>
        </is>
      </c>
      <c r="C118" t="inlineStr">
        <is>
          <t>PZ-A</t>
        </is>
      </c>
      <c r="D118" t="n">
        <v>2</v>
      </c>
      <c r="E118" t="inlineStr">
        <is>
          <t>H0124</t>
        </is>
      </c>
      <c r="F118" t="inlineStr">
        <is>
          <t>桃園市大園區大園重劃區-三石段86-1地號-附地標</t>
        </is>
      </c>
      <c r="G118" t="n">
        <v>25.061736</v>
      </c>
      <c r="H118" t="n">
        <v>121.255508</v>
      </c>
      <c r="I118" t="n">
        <v>8</v>
      </c>
      <c r="J118" t="n">
        <v>3</v>
      </c>
      <c r="K118" t="n">
        <v>36</v>
      </c>
      <c r="L118" t="inlineStr">
        <is>
          <t>Primary</t>
        </is>
      </c>
    </row>
    <row r="119">
      <c r="A119" t="n">
        <v>5</v>
      </c>
      <c r="B119" s="20" t="inlineStr">
        <is>
          <t>S01</t>
        </is>
      </c>
      <c r="C119" t="inlineStr">
        <is>
          <t>PZ-A</t>
        </is>
      </c>
      <c r="D119" t="n">
        <v>3</v>
      </c>
      <c r="E119" t="inlineStr">
        <is>
          <t>H0883</t>
        </is>
      </c>
      <c r="F119" t="inlineStr">
        <is>
          <t>桃園市蘆竹區(大園區)八股路224巷-大園重劃區-附地標</t>
        </is>
      </c>
      <c r="G119" t="n">
        <v>25.062261</v>
      </c>
      <c r="H119" t="n">
        <v>121.256083</v>
      </c>
      <c r="I119" t="n">
        <v>8</v>
      </c>
      <c r="J119" t="n">
        <v>2</v>
      </c>
      <c r="K119" t="n">
        <v>46</v>
      </c>
      <c r="L119" t="inlineStr">
        <is>
          <t>Primary</t>
        </is>
      </c>
    </row>
    <row r="120">
      <c r="A120" t="n">
        <v>5</v>
      </c>
      <c r="B120" s="20" t="inlineStr">
        <is>
          <t>S01</t>
        </is>
      </c>
      <c r="C120" t="inlineStr">
        <is>
          <t>PZ-A</t>
        </is>
      </c>
      <c r="D120" t="n">
        <v>4</v>
      </c>
      <c r="E120" t="inlineStr">
        <is>
          <t>H0086</t>
        </is>
      </c>
      <c r="F120" t="inlineStr">
        <is>
          <t>桃園市大園區三石段40-41地號-大園重劃區-附地標</t>
        </is>
      </c>
      <c r="G120" t="n">
        <v>25.063364</v>
      </c>
      <c r="H120" t="n">
        <v>121.257528</v>
      </c>
      <c r="I120" t="n">
        <v>8</v>
      </c>
      <c r="J120" t="n">
        <v>3</v>
      </c>
      <c r="K120" t="n">
        <v>57</v>
      </c>
      <c r="L120" t="inlineStr">
        <is>
          <t>Primary</t>
        </is>
      </c>
    </row>
    <row r="121">
      <c r="A121" t="n">
        <v>5</v>
      </c>
      <c r="B121" s="20" t="inlineStr">
        <is>
          <t>S01</t>
        </is>
      </c>
      <c r="C121" t="inlineStr">
        <is>
          <t>PZ-A</t>
        </is>
      </c>
      <c r="D121" t="n">
        <v>5</v>
      </c>
      <c r="E121" t="inlineStr">
        <is>
          <t>H0065</t>
        </is>
      </c>
      <c r="F121" t="inlineStr">
        <is>
          <t>桃園市大園區三民路２段957號(三民料場帳棚旁)(24號.32號))</t>
        </is>
      </c>
      <c r="G121" t="n">
        <v>25.0670712</v>
      </c>
      <c r="H121" t="n">
        <v>121.2621096</v>
      </c>
      <c r="I121" t="n">
        <v>32</v>
      </c>
      <c r="J121" t="n">
        <v>3</v>
      </c>
      <c r="K121" t="n">
        <v>92</v>
      </c>
      <c r="L121" t="inlineStr">
        <is>
          <t>Primary</t>
        </is>
      </c>
    </row>
    <row r="122">
      <c r="A122" t="n">
        <v>5</v>
      </c>
      <c r="B122" s="20" t="inlineStr">
        <is>
          <t>S01</t>
        </is>
      </c>
      <c r="C122" t="inlineStr">
        <is>
          <t>PZ-A</t>
        </is>
      </c>
      <c r="D122" t="n">
        <v>6</v>
      </c>
      <c r="E122" t="inlineStr">
        <is>
          <t>H0950</t>
        </is>
      </c>
      <c r="F122" t="inlineStr">
        <is>
          <t>桃園市蘆竹區南竹路２段216-6號捷運工地-電聯定位</t>
        </is>
      </c>
      <c r="G122" t="n">
        <v>25.063325</v>
      </c>
      <c r="H122" t="n">
        <v>121.2653</v>
      </c>
      <c r="I122" t="n">
        <v>32</v>
      </c>
      <c r="J122" t="n">
        <v>3</v>
      </c>
      <c r="K122" t="n">
        <v>127</v>
      </c>
      <c r="L122" t="inlineStr">
        <is>
          <t>Primary</t>
        </is>
      </c>
    </row>
    <row r="123">
      <c r="A123" t="n">
        <v>5</v>
      </c>
      <c r="B123" s="20" t="inlineStr">
        <is>
          <t>S01</t>
        </is>
      </c>
      <c r="C123" t="inlineStr">
        <is>
          <t>PZ-A</t>
        </is>
      </c>
      <c r="D123" t="n">
        <v>7</v>
      </c>
      <c r="E123" t="inlineStr">
        <is>
          <t>H0954</t>
        </is>
      </c>
      <c r="F123" t="inlineStr">
        <is>
          <t>桃園市蘆竹區南崁路2段402巷26弄2號旁</t>
        </is>
      </c>
      <c r="G123" t="n">
        <v>25.064042</v>
      </c>
      <c r="H123" t="n">
        <v>121.269292</v>
      </c>
      <c r="I123" t="n">
        <v>8</v>
      </c>
      <c r="J123" t="n">
        <v>3</v>
      </c>
      <c r="K123" t="n">
        <v>138</v>
      </c>
      <c r="L123" t="inlineStr">
        <is>
          <t>Primary</t>
        </is>
      </c>
    </row>
    <row r="124">
      <c r="A124" t="n">
        <v>5</v>
      </c>
      <c r="B124" s="20" t="inlineStr">
        <is>
          <t>S01</t>
        </is>
      </c>
      <c r="C124" t="inlineStr">
        <is>
          <t>PZ-A</t>
        </is>
      </c>
      <c r="D124" t="n">
        <v>8</v>
      </c>
      <c r="E124" t="inlineStr">
        <is>
          <t>H0940</t>
        </is>
      </c>
      <c r="F124" t="inlineStr">
        <is>
          <t>桃園市蘆竹區長興路３段261號</t>
        </is>
      </c>
      <c r="G124" t="n">
        <v>25.070395</v>
      </c>
      <c r="H124" t="n">
        <v>121.275053</v>
      </c>
      <c r="I124" t="n">
        <v>8</v>
      </c>
      <c r="J124" t="n">
        <v>3</v>
      </c>
      <c r="K124" t="n">
        <v>149</v>
      </c>
      <c r="L124" t="inlineStr">
        <is>
          <t>Primary</t>
        </is>
      </c>
    </row>
    <row r="125">
      <c r="A125" t="n">
        <v>5</v>
      </c>
      <c r="B125" s="20" t="inlineStr">
        <is>
          <t>S01</t>
        </is>
      </c>
      <c r="C125" t="inlineStr">
        <is>
          <t>PZ-A</t>
        </is>
      </c>
      <c r="D125" t="n">
        <v>9</v>
      </c>
      <c r="E125" t="inlineStr">
        <is>
          <t>H0073</t>
        </is>
      </c>
      <c r="F125" t="inlineStr">
        <is>
          <t>桃園市大園區三民路二段859號對面管制區-三石段227地號</t>
        </is>
      </c>
      <c r="G125" t="n">
        <v>25.065058</v>
      </c>
      <c r="H125" t="n">
        <v>121.248408</v>
      </c>
      <c r="I125" t="n">
        <v>8</v>
      </c>
      <c r="J125" t="n">
        <v>6.6</v>
      </c>
      <c r="K125" t="n">
        <v>163.6</v>
      </c>
      <c r="L125" t="inlineStr">
        <is>
          <t>Primary</t>
        </is>
      </c>
    </row>
    <row r="126">
      <c r="A126" t="n">
        <v>5</v>
      </c>
      <c r="B126" s="20" t="inlineStr">
        <is>
          <t>S01</t>
        </is>
      </c>
      <c r="C126" t="inlineStr">
        <is>
          <t>PZ-A</t>
        </is>
      </c>
      <c r="D126" t="n">
        <v>10</v>
      </c>
      <c r="E126" t="inlineStr">
        <is>
          <t>H0962</t>
        </is>
      </c>
      <c r="F126" t="inlineStr">
        <is>
          <t>桃園市蘆竹區海山路二段295號</t>
        </is>
      </c>
      <c r="G126" t="n">
        <v>25.106822</v>
      </c>
      <c r="H126" t="n">
        <v>121.257367</v>
      </c>
      <c r="I126" t="n">
        <v>8</v>
      </c>
      <c r="J126" t="n">
        <v>11.4</v>
      </c>
      <c r="K126" t="n">
        <v>183</v>
      </c>
      <c r="L126" t="inlineStr">
        <is>
          <t>Primary</t>
        </is>
      </c>
    </row>
    <row r="127">
      <c r="A127" t="n">
        <v>5</v>
      </c>
      <c r="B127" s="20" t="inlineStr">
        <is>
          <t>S01</t>
        </is>
      </c>
      <c r="C127" t="inlineStr">
        <is>
          <t>PZ-A</t>
        </is>
      </c>
      <c r="D127" t="n">
        <v>11</v>
      </c>
      <c r="E127" t="inlineStr">
        <is>
          <t>H0062</t>
        </is>
      </c>
      <c r="F127" t="inlineStr">
        <is>
          <t>桃園市大園區(蘆竹區)漁港路451巷-海沙段5地號-電聯定位</t>
        </is>
      </c>
      <c r="G127" t="n">
        <v>25.118739</v>
      </c>
      <c r="H127" t="n">
        <v>121.244411</v>
      </c>
      <c r="I127" t="n">
        <v>16</v>
      </c>
      <c r="J127" t="n">
        <v>4.5</v>
      </c>
      <c r="K127" t="n">
        <v>203.4</v>
      </c>
      <c r="L127" t="inlineStr">
        <is>
          <t>Primary</t>
        </is>
      </c>
    </row>
    <row r="128">
      <c r="A128" t="n">
        <v>5</v>
      </c>
      <c r="B128" s="20" t="inlineStr">
        <is>
          <t>S01</t>
        </is>
      </c>
      <c r="C128" t="inlineStr">
        <is>
          <t>PZ-A</t>
        </is>
      </c>
      <c r="D128" t="n">
        <v>12</v>
      </c>
      <c r="E128" t="inlineStr">
        <is>
          <t>H0999</t>
        </is>
      </c>
      <c r="F128" t="inlineStr">
        <is>
          <t>桃園市觀音區工業一路18號-聯華</t>
        </is>
      </c>
      <c r="G128" t="n">
        <v>25.0680423</v>
      </c>
      <c r="H128" t="n">
        <v>121.1261274</v>
      </c>
      <c r="I128" t="n">
        <v>90</v>
      </c>
      <c r="J128" t="n">
        <v>13.2</v>
      </c>
      <c r="K128" t="n">
        <v>306.6</v>
      </c>
      <c r="L128" t="inlineStr">
        <is>
          <t>Primary</t>
        </is>
      </c>
    </row>
    <row r="129">
      <c r="A129" t="n">
        <v>5</v>
      </c>
      <c r="B129" s="20" t="inlineStr">
        <is>
          <t>S01</t>
        </is>
      </c>
      <c r="C129" t="inlineStr">
        <is>
          <t>PZ-A</t>
        </is>
      </c>
      <c r="D129" t="n">
        <v>13</v>
      </c>
      <c r="E129" t="inlineStr">
        <is>
          <t>H0984</t>
        </is>
      </c>
      <c r="F129" t="inlineStr">
        <is>
          <t>桃園市觀音區大同一路1號工地</t>
        </is>
      </c>
      <c r="G129" t="n">
        <v>25.054064</v>
      </c>
      <c r="H129" t="n">
        <v>121.127392</v>
      </c>
      <c r="I129" t="n">
        <v>8</v>
      </c>
      <c r="J129" t="n">
        <v>3.7</v>
      </c>
      <c r="K129" t="n">
        <v>318.3</v>
      </c>
      <c r="L129" t="inlineStr">
        <is>
          <t>Primary</t>
        </is>
      </c>
    </row>
    <row r="130">
      <c r="A130" t="n">
        <v>5</v>
      </c>
      <c r="B130" s="20" t="inlineStr">
        <is>
          <t>S01</t>
        </is>
      </c>
      <c r="C130" t="inlineStr">
        <is>
          <t>PZ-A</t>
        </is>
      </c>
      <c r="D130" t="n">
        <v>14</v>
      </c>
      <c r="E130" t="inlineStr">
        <is>
          <t>H1020</t>
        </is>
      </c>
      <c r="F130" t="inlineStr">
        <is>
          <t>桃園市觀音區玉林路一段789號</t>
        </is>
      </c>
      <c r="G130" t="n">
        <v>25.053067</v>
      </c>
      <c r="H130" t="n">
        <v>121.096652</v>
      </c>
      <c r="I130" t="n">
        <v>8</v>
      </c>
      <c r="J130" t="n">
        <v>7.4</v>
      </c>
      <c r="K130" t="n">
        <v>333.8</v>
      </c>
      <c r="L130" t="inlineStr">
        <is>
          <t>Primary</t>
        </is>
      </c>
    </row>
    <row r="131">
      <c r="A131" t="n">
        <v>5</v>
      </c>
      <c r="B131" s="20" t="inlineStr">
        <is>
          <t>S01</t>
        </is>
      </c>
      <c r="C131" t="inlineStr">
        <is>
          <t>PZ-A</t>
        </is>
      </c>
      <c r="D131" t="n">
        <v>15</v>
      </c>
      <c r="E131" t="inlineStr">
        <is>
          <t>H1027</t>
        </is>
      </c>
      <c r="F131" t="inlineStr">
        <is>
          <t>桃園市觀音區自強五街8號對面工地</t>
        </is>
      </c>
      <c r="G131" t="n">
        <v>25.044375</v>
      </c>
      <c r="H131" t="n">
        <v>121.084341</v>
      </c>
      <c r="I131" t="n">
        <v>8</v>
      </c>
      <c r="J131" t="n">
        <v>3.8</v>
      </c>
      <c r="K131" t="n">
        <v>345.6</v>
      </c>
      <c r="L131" t="inlineStr">
        <is>
          <t>Primary</t>
        </is>
      </c>
    </row>
    <row r="132">
      <c r="A132" t="n">
        <v>5</v>
      </c>
      <c r="B132" s="20" t="inlineStr">
        <is>
          <t>S01</t>
        </is>
      </c>
      <c r="C132" t="inlineStr">
        <is>
          <t>PZ-A</t>
        </is>
      </c>
      <c r="D132" t="n">
        <v>16</v>
      </c>
      <c r="E132" t="inlineStr">
        <is>
          <t>H1051</t>
        </is>
      </c>
      <c r="F132" t="inlineStr">
        <is>
          <t>桃園市觀音區桃科三路2號-觀音區國民運動中心對面-附定位圖</t>
        </is>
      </c>
      <c r="G132" t="n">
        <v>25.035036</v>
      </c>
      <c r="H132" t="n">
        <v>121.071814</v>
      </c>
      <c r="I132" t="n">
        <v>16</v>
      </c>
      <c r="J132" t="n">
        <v>3.9</v>
      </c>
      <c r="K132" t="n">
        <v>365.5</v>
      </c>
      <c r="L132" t="inlineStr">
        <is>
          <t>Primary</t>
        </is>
      </c>
    </row>
    <row r="133">
      <c r="A133" t="n">
        <v>5</v>
      </c>
      <c r="B133" s="20" t="inlineStr">
        <is>
          <t>S01</t>
        </is>
      </c>
      <c r="C133" t="inlineStr">
        <is>
          <t>PZ-A</t>
        </is>
      </c>
      <c r="D133" t="n">
        <v>17</v>
      </c>
      <c r="E133" t="inlineStr">
        <is>
          <t>H1105</t>
        </is>
      </c>
      <c r="F133" t="inlineStr">
        <is>
          <t>桃園市觀音區環南路405號旁工地</t>
        </is>
      </c>
      <c r="G133" t="n">
        <v>25.0325736</v>
      </c>
      <c r="H133" t="n">
        <v>121.0641138</v>
      </c>
      <c r="I133" t="n">
        <v>40</v>
      </c>
      <c r="J133" t="n">
        <v>3</v>
      </c>
      <c r="K133" t="n">
        <v>408.5</v>
      </c>
      <c r="L133" t="inlineStr">
        <is>
          <t>Primary</t>
        </is>
      </c>
    </row>
    <row r="134">
      <c r="A134" t="n">
        <v>5</v>
      </c>
      <c r="B134" s="20" t="inlineStr">
        <is>
          <t>S01</t>
        </is>
      </c>
      <c r="C134" t="inlineStr">
        <is>
          <t>PZ-A</t>
        </is>
      </c>
      <c r="D134" t="n">
        <v>18</v>
      </c>
      <c r="E134" t="inlineStr">
        <is>
          <t>H1046</t>
        </is>
      </c>
      <c r="F134" t="inlineStr">
        <is>
          <t>桃園市觀音區保生九街89號對面</t>
        </is>
      </c>
      <c r="G134" t="n">
        <v>25.025395</v>
      </c>
      <c r="H134" t="n">
        <v>121.05565</v>
      </c>
      <c r="I134" t="n">
        <v>8</v>
      </c>
      <c r="J134" t="n">
        <v>3</v>
      </c>
      <c r="K134" t="n">
        <v>419.5</v>
      </c>
      <c r="L134" t="inlineStr">
        <is>
          <t>Primary</t>
        </is>
      </c>
    </row>
    <row r="135">
      <c r="A135" t="n">
        <v>5</v>
      </c>
      <c r="B135" s="20" t="inlineStr">
        <is>
          <t>S01</t>
        </is>
      </c>
      <c r="C135" t="inlineStr">
        <is>
          <t>PZ-A</t>
        </is>
      </c>
      <c r="D135" t="n">
        <v>19</v>
      </c>
      <c r="E135" t="inlineStr">
        <is>
          <t>H1086</t>
        </is>
      </c>
      <c r="F135" t="inlineStr">
        <is>
          <t>桃園市觀音區電廠路1號(大潭電廠南門)-電聯定位</t>
        </is>
      </c>
      <c r="G135" t="n">
        <v>25.022409</v>
      </c>
      <c r="H135" t="n">
        <v>121.045277</v>
      </c>
      <c r="I135" t="n">
        <v>16</v>
      </c>
      <c r="J135" t="n">
        <v>3</v>
      </c>
      <c r="K135" t="n">
        <v>438.5</v>
      </c>
      <c r="L135" t="inlineStr">
        <is>
          <t>Primary</t>
        </is>
      </c>
    </row>
    <row r="136">
      <c r="A136" t="n">
        <v>5</v>
      </c>
      <c r="B136" s="20" t="inlineStr">
        <is>
          <t>S01</t>
        </is>
      </c>
      <c r="C136" t="inlineStr">
        <is>
          <t>PZ-D</t>
        </is>
      </c>
      <c r="D136" t="n">
        <v>20</v>
      </c>
      <c r="E136" t="inlineStr">
        <is>
          <t>K0016</t>
        </is>
      </c>
      <c r="F136" t="inlineStr">
        <is>
          <t>苗栗縣竹南鎮友義路81號</t>
        </is>
      </c>
      <c r="G136" t="n">
        <v>24.721984</v>
      </c>
      <c r="H136" t="n">
        <v>120.908136</v>
      </c>
      <c r="I136" t="n">
        <v>8</v>
      </c>
      <c r="J136" t="n">
        <v>36.2</v>
      </c>
      <c r="K136" t="n">
        <v>482.6</v>
      </c>
      <c r="L136" s="21" t="inlineStr">
        <is>
          <t>Support</t>
        </is>
      </c>
    </row>
    <row r="137">
      <c r="A137" t="n">
        <v>5</v>
      </c>
      <c r="B137" s="20" t="inlineStr">
        <is>
          <t>S01</t>
        </is>
      </c>
      <c r="C137" t="inlineStr">
        <is>
          <t>PZ-D</t>
        </is>
      </c>
      <c r="D137" t="n">
        <v>21</v>
      </c>
      <c r="E137" t="inlineStr">
        <is>
          <t>K0031</t>
        </is>
      </c>
      <c r="F137" t="inlineStr">
        <is>
          <t>苗栗縣竹南鎮科學路&amp;科專一路交叉口-A棟1F</t>
        </is>
      </c>
      <c r="G137" t="n">
        <v>24.713714</v>
      </c>
      <c r="H137" t="n">
        <v>120.908369</v>
      </c>
      <c r="I137" t="n">
        <v>8</v>
      </c>
      <c r="J137" t="n">
        <v>3</v>
      </c>
      <c r="K137" t="n">
        <v>493.6</v>
      </c>
      <c r="L137" s="21" t="inlineStr">
        <is>
          <t>Support</t>
        </is>
      </c>
    </row>
    <row r="138">
      <c r="A138" t="n">
        <v>6</v>
      </c>
      <c r="B138" s="20" t="inlineStr">
        <is>
          <t>S01</t>
        </is>
      </c>
      <c r="C138" t="inlineStr">
        <is>
          <t>PZ-A</t>
        </is>
      </c>
      <c r="D138" t="n">
        <v>1</v>
      </c>
      <c r="E138" t="inlineStr">
        <is>
          <t>H1084</t>
        </is>
      </c>
      <c r="F138" t="inlineStr">
        <is>
          <t>桃園市觀音區電廠路1號(大潭電廠)-出入需換證件</t>
        </is>
      </c>
      <c r="G138" t="n">
        <v>25.0308407</v>
      </c>
      <c r="H138" t="n">
        <v>121.0520742</v>
      </c>
      <c r="I138" t="n">
        <v>160</v>
      </c>
      <c r="J138" t="n">
        <v>22.4</v>
      </c>
      <c r="K138" t="n">
        <v>182.4</v>
      </c>
      <c r="L138" t="inlineStr">
        <is>
          <t>Primary</t>
        </is>
      </c>
    </row>
    <row r="139">
      <c r="A139" t="n">
        <v>6</v>
      </c>
      <c r="B139" s="20" t="inlineStr">
        <is>
          <t>S01</t>
        </is>
      </c>
      <c r="C139" t="inlineStr">
        <is>
          <t>PZ-C</t>
        </is>
      </c>
      <c r="D139" t="n">
        <v>2</v>
      </c>
      <c r="E139" t="inlineStr">
        <is>
          <t>J0071</t>
        </is>
      </c>
      <c r="F139" t="inlineStr">
        <is>
          <t>新竹縣竹北市鳳岡路三段196號對面工地-電聯定位</t>
        </is>
      </c>
      <c r="G139" t="n">
        <v>24.861939</v>
      </c>
      <c r="H139" t="n">
        <v>120.964567</v>
      </c>
      <c r="I139" t="n">
        <v>8</v>
      </c>
      <c r="J139" t="n">
        <v>20.8</v>
      </c>
      <c r="K139" t="n">
        <v>211.1</v>
      </c>
      <c r="L139" s="21" t="inlineStr">
        <is>
          <t>Support</t>
        </is>
      </c>
    </row>
    <row r="140">
      <c r="A140" t="n">
        <v>6</v>
      </c>
      <c r="B140" s="20" t="inlineStr">
        <is>
          <t>S01</t>
        </is>
      </c>
      <c r="C140" t="inlineStr">
        <is>
          <t>PZ-C</t>
        </is>
      </c>
      <c r="D140" t="n">
        <v>3</v>
      </c>
      <c r="E140" t="inlineStr">
        <is>
          <t>O0006</t>
        </is>
      </c>
      <c r="F140" t="inlineStr">
        <is>
          <t>新竹市北區公道五路五段33號旁工地-附圖自行定位</t>
        </is>
      </c>
      <c r="G140" t="n">
        <v>24.833114</v>
      </c>
      <c r="H140" t="n">
        <v>120.952283</v>
      </c>
      <c r="I140" t="n">
        <v>8</v>
      </c>
      <c r="J140" t="n">
        <v>8.199999999999999</v>
      </c>
      <c r="K140" t="n">
        <v>227.4</v>
      </c>
      <c r="L140" s="21" t="inlineStr">
        <is>
          <t>Support</t>
        </is>
      </c>
    </row>
    <row r="141">
      <c r="A141" t="n">
        <v>6</v>
      </c>
      <c r="B141" s="20" t="inlineStr">
        <is>
          <t>S01</t>
        </is>
      </c>
      <c r="C141" t="inlineStr">
        <is>
          <t>PZ-C</t>
        </is>
      </c>
      <c r="D141" t="n">
        <v>4</v>
      </c>
      <c r="E141" t="inlineStr">
        <is>
          <t>O0019</t>
        </is>
      </c>
      <c r="F141" t="inlineStr">
        <is>
          <t>新竹市北區東大路三段439巷6號對面工地</t>
        </is>
      </c>
      <c r="G141" t="n">
        <v>24.837383</v>
      </c>
      <c r="H141" t="n">
        <v>120.940483</v>
      </c>
      <c r="I141" t="n">
        <v>8</v>
      </c>
      <c r="J141" t="n">
        <v>3.1</v>
      </c>
      <c r="K141" t="n">
        <v>238.4</v>
      </c>
      <c r="L141" s="21" t="inlineStr">
        <is>
          <t>Support</t>
        </is>
      </c>
    </row>
    <row r="142">
      <c r="A142" t="n">
        <v>6</v>
      </c>
      <c r="B142" s="20" t="inlineStr">
        <is>
          <t>S01</t>
        </is>
      </c>
      <c r="C142" t="inlineStr">
        <is>
          <t>PZ-C</t>
        </is>
      </c>
      <c r="D142" t="n">
        <v>5</v>
      </c>
      <c r="E142" t="inlineStr">
        <is>
          <t>O0058</t>
        </is>
      </c>
      <c r="F142" t="inlineStr">
        <is>
          <t>新竹市東區仲生路45號</t>
        </is>
      </c>
      <c r="G142" t="n">
        <v>24.769203</v>
      </c>
      <c r="H142" t="n">
        <v>120.968817</v>
      </c>
      <c r="I142" t="n">
        <v>8</v>
      </c>
      <c r="J142" t="n">
        <v>19.4</v>
      </c>
      <c r="K142" t="n">
        <v>265.9</v>
      </c>
      <c r="L142" s="21" t="inlineStr">
        <is>
          <t>Support</t>
        </is>
      </c>
    </row>
    <row r="143">
      <c r="A143" t="n">
        <v>6</v>
      </c>
      <c r="B143" s="20" t="inlineStr">
        <is>
          <t>S01</t>
        </is>
      </c>
      <c r="C143" t="inlineStr">
        <is>
          <t>PZ-C</t>
        </is>
      </c>
      <c r="D143" t="n">
        <v>6</v>
      </c>
      <c r="E143" t="inlineStr">
        <is>
          <t>J0112</t>
        </is>
      </c>
      <c r="F143" t="inlineStr">
        <is>
          <t>新竹縣峨眉鄉中盛村2鄰中興57之6號-24°41'30.4"N 121°01'55.1"E</t>
        </is>
      </c>
      <c r="G143" t="n">
        <v>24.691572</v>
      </c>
      <c r="H143" t="n">
        <v>121.031936</v>
      </c>
      <c r="I143" t="n">
        <v>8</v>
      </c>
      <c r="J143" t="n">
        <v>10.7</v>
      </c>
      <c r="K143" t="n">
        <v>284.6</v>
      </c>
      <c r="L143" s="21" t="inlineStr">
        <is>
          <t>Support</t>
        </is>
      </c>
    </row>
    <row r="144">
      <c r="A144" t="n">
        <v>1</v>
      </c>
      <c r="B144" s="22" t="inlineStr">
        <is>
          <t>S02</t>
        </is>
      </c>
      <c r="C144" t="inlineStr">
        <is>
          <t>PZ-A</t>
        </is>
      </c>
      <c r="D144" t="n">
        <v>1</v>
      </c>
      <c r="E144" t="inlineStr">
        <is>
          <t>H0975</t>
        </is>
      </c>
      <c r="F144" t="inlineStr">
        <is>
          <t>桃園市蘆竹區龍安街二段476號對面</t>
        </is>
      </c>
      <c r="G144" t="n">
        <v>24.997222</v>
      </c>
      <c r="H144" t="n">
        <v>121.262417</v>
      </c>
      <c r="I144" t="n">
        <v>24</v>
      </c>
      <c r="J144" t="n">
        <v>10.7</v>
      </c>
      <c r="K144" t="n">
        <v>34.7</v>
      </c>
      <c r="L144" t="inlineStr">
        <is>
          <t>Primary</t>
        </is>
      </c>
    </row>
    <row r="145">
      <c r="A145" t="n">
        <v>1</v>
      </c>
      <c r="B145" s="22" t="inlineStr">
        <is>
          <t>S02</t>
        </is>
      </c>
      <c r="C145" t="inlineStr">
        <is>
          <t>PZ-A</t>
        </is>
      </c>
      <c r="D145" t="n">
        <v>2</v>
      </c>
      <c r="E145" t="inlineStr">
        <is>
          <t>H0974</t>
        </is>
      </c>
      <c r="F145" t="inlineStr">
        <is>
          <t>桃園市蘆竹區龍安街二段1114號</t>
        </is>
      </c>
      <c r="G145" t="n">
        <v>25.008525</v>
      </c>
      <c r="H145" t="n">
        <v>121.257528</v>
      </c>
      <c r="I145" t="n">
        <v>8</v>
      </c>
      <c r="J145" t="n">
        <v>3.2</v>
      </c>
      <c r="K145" t="n">
        <v>45.9</v>
      </c>
      <c r="L145" t="inlineStr">
        <is>
          <t>Primary</t>
        </is>
      </c>
    </row>
    <row r="146">
      <c r="A146" t="n">
        <v>1</v>
      </c>
      <c r="B146" s="22" t="inlineStr">
        <is>
          <t>S02</t>
        </is>
      </c>
      <c r="C146" t="inlineStr">
        <is>
          <t>PZ-A</t>
        </is>
      </c>
      <c r="D146" t="n">
        <v>3</v>
      </c>
      <c r="E146" t="inlineStr">
        <is>
          <t>H0906</t>
        </is>
      </c>
      <c r="F146" t="inlineStr">
        <is>
          <t>桃園市蘆竹區大興八街46巷5號</t>
        </is>
      </c>
      <c r="G146" t="n">
        <v>25.016917</v>
      </c>
      <c r="H146" t="n">
        <v>121.258958</v>
      </c>
      <c r="I146" t="n">
        <v>8</v>
      </c>
      <c r="J146" t="n">
        <v>3</v>
      </c>
      <c r="K146" t="n">
        <v>56.9</v>
      </c>
      <c r="L146" t="inlineStr">
        <is>
          <t>Primary</t>
        </is>
      </c>
    </row>
    <row r="147">
      <c r="A147" t="n">
        <v>1</v>
      </c>
      <c r="B147" s="22" t="inlineStr">
        <is>
          <t>S02</t>
        </is>
      </c>
      <c r="C147" t="inlineStr">
        <is>
          <t>PZ-A</t>
        </is>
      </c>
      <c r="D147" t="n">
        <v>4</v>
      </c>
      <c r="E147" t="inlineStr">
        <is>
          <t>H0900</t>
        </is>
      </c>
      <c r="F147" t="inlineStr">
        <is>
          <t>桃園市蘆竹區大竹一街155號對面</t>
        </is>
      </c>
      <c r="G147" t="n">
        <v>25.018303</v>
      </c>
      <c r="H147" t="n">
        <v>121.261775</v>
      </c>
      <c r="I147" t="n">
        <v>8</v>
      </c>
      <c r="J147" t="n">
        <v>3</v>
      </c>
      <c r="K147" t="n">
        <v>67.90000000000001</v>
      </c>
      <c r="L147" t="inlineStr">
        <is>
          <t>Primary</t>
        </is>
      </c>
    </row>
    <row r="148">
      <c r="A148" t="n">
        <v>1</v>
      </c>
      <c r="B148" s="22" t="inlineStr">
        <is>
          <t>S02</t>
        </is>
      </c>
      <c r="C148" t="inlineStr">
        <is>
          <t>PZ-A</t>
        </is>
      </c>
      <c r="D148" t="n">
        <v>5</v>
      </c>
      <c r="E148" t="inlineStr">
        <is>
          <t>H0898</t>
        </is>
      </c>
      <c r="F148" t="inlineStr">
        <is>
          <t>桃園市蘆竹區上興路111號</t>
        </is>
      </c>
      <c r="G148" t="n">
        <v>25.018548</v>
      </c>
      <c r="H148" t="n">
        <v>121.262889</v>
      </c>
      <c r="I148" t="n">
        <v>8</v>
      </c>
      <c r="J148" t="n">
        <v>3</v>
      </c>
      <c r="K148" t="n">
        <v>78.90000000000001</v>
      </c>
      <c r="L148" t="inlineStr">
        <is>
          <t>Primary</t>
        </is>
      </c>
    </row>
    <row r="149">
      <c r="A149" t="n">
        <v>1</v>
      </c>
      <c r="B149" s="22" t="inlineStr">
        <is>
          <t>S02</t>
        </is>
      </c>
      <c r="C149" t="inlineStr">
        <is>
          <t>PZ-A</t>
        </is>
      </c>
      <c r="D149" t="n">
        <v>6</v>
      </c>
      <c r="E149" t="inlineStr">
        <is>
          <t>H0899</t>
        </is>
      </c>
      <c r="F149" t="inlineStr">
        <is>
          <t>桃園市蘆竹區上興路單85號旁工地-新技化學蘆竹廠</t>
        </is>
      </c>
      <c r="G149" t="n">
        <v>25.018461</v>
      </c>
      <c r="H149" t="n">
        <v>121.263706</v>
      </c>
      <c r="I149" t="n">
        <v>8</v>
      </c>
      <c r="J149" t="n">
        <v>2</v>
      </c>
      <c r="K149" t="n">
        <v>88.90000000000001</v>
      </c>
      <c r="L149" t="inlineStr">
        <is>
          <t>Primary</t>
        </is>
      </c>
    </row>
    <row r="150">
      <c r="A150" t="n">
        <v>1</v>
      </c>
      <c r="B150" s="22" t="inlineStr">
        <is>
          <t>S02</t>
        </is>
      </c>
      <c r="C150" t="inlineStr">
        <is>
          <t>PZ-A</t>
        </is>
      </c>
      <c r="D150" t="n">
        <v>7</v>
      </c>
      <c r="E150" t="inlineStr">
        <is>
          <t>H0897</t>
        </is>
      </c>
      <c r="F150" t="inlineStr">
        <is>
          <t>桃園市蘆竹區上竹路&amp;上竹三街交叉口</t>
        </is>
      </c>
      <c r="G150" t="n">
        <v>25.021214</v>
      </c>
      <c r="H150" t="n">
        <v>121.265689</v>
      </c>
      <c r="I150" t="n">
        <v>8</v>
      </c>
      <c r="J150" t="n">
        <v>3</v>
      </c>
      <c r="K150" t="n">
        <v>99.90000000000001</v>
      </c>
      <c r="L150" t="inlineStr">
        <is>
          <t>Primary</t>
        </is>
      </c>
    </row>
    <row r="151">
      <c r="A151" t="n">
        <v>1</v>
      </c>
      <c r="B151" s="22" t="inlineStr">
        <is>
          <t>S02</t>
        </is>
      </c>
      <c r="C151" t="inlineStr">
        <is>
          <t>PZ-A</t>
        </is>
      </c>
      <c r="D151" t="n">
        <v>8</v>
      </c>
      <c r="E151" t="inlineStr">
        <is>
          <t>H0905</t>
        </is>
      </c>
      <c r="F151" t="inlineStr">
        <is>
          <t>桃園市蘆竹區大竹路288巷28號</t>
        </is>
      </c>
      <c r="G151" t="n">
        <v>25.018481</v>
      </c>
      <c r="H151" t="n">
        <v>121.269531</v>
      </c>
      <c r="I151" t="n">
        <v>8</v>
      </c>
      <c r="J151" t="n">
        <v>3</v>
      </c>
      <c r="K151" t="n">
        <v>110.9</v>
      </c>
      <c r="L151" t="inlineStr">
        <is>
          <t>Primary</t>
        </is>
      </c>
    </row>
    <row r="152">
      <c r="A152" t="n">
        <v>1</v>
      </c>
      <c r="B152" s="22" t="inlineStr">
        <is>
          <t>S02</t>
        </is>
      </c>
      <c r="C152" t="inlineStr">
        <is>
          <t>PZ-A</t>
        </is>
      </c>
      <c r="D152" t="n">
        <v>9</v>
      </c>
      <c r="E152" t="inlineStr">
        <is>
          <t>H0578</t>
        </is>
      </c>
      <c r="F152" t="inlineStr">
        <is>
          <t>桃園市桃園區永安路1298號</t>
        </is>
      </c>
      <c r="G152" t="n">
        <v>25.011092</v>
      </c>
      <c r="H152" t="n">
        <v>121.278186</v>
      </c>
      <c r="I152" t="n">
        <v>8</v>
      </c>
      <c r="J152" t="n">
        <v>3</v>
      </c>
      <c r="K152" t="n">
        <v>121.9</v>
      </c>
      <c r="L152" t="inlineStr">
        <is>
          <t>Primary</t>
        </is>
      </c>
    </row>
    <row r="153">
      <c r="A153" t="n">
        <v>1</v>
      </c>
      <c r="B153" s="22" t="inlineStr">
        <is>
          <t>S02</t>
        </is>
      </c>
      <c r="C153" t="inlineStr">
        <is>
          <t>PZ-A</t>
        </is>
      </c>
      <c r="D153" t="n">
        <v>10</v>
      </c>
      <c r="E153" t="inlineStr">
        <is>
          <t>H0607</t>
        </is>
      </c>
      <c r="F153" t="inlineStr">
        <is>
          <t>桃園市桃園區富國路398巷旁工地</t>
        </is>
      </c>
      <c r="G153" t="n">
        <v>25.014625</v>
      </c>
      <c r="H153" t="n">
        <v>121.286122</v>
      </c>
      <c r="I153" t="n">
        <v>24</v>
      </c>
      <c r="J153" t="n">
        <v>3</v>
      </c>
      <c r="K153" t="n">
        <v>148.9</v>
      </c>
      <c r="L153" t="inlineStr">
        <is>
          <t>Primary</t>
        </is>
      </c>
    </row>
    <row r="154">
      <c r="A154" t="n">
        <v>1</v>
      </c>
      <c r="B154" s="22" t="inlineStr">
        <is>
          <t>S02</t>
        </is>
      </c>
      <c r="C154" t="inlineStr">
        <is>
          <t>PZ-A</t>
        </is>
      </c>
      <c r="D154" t="n">
        <v>11</v>
      </c>
      <c r="E154" t="inlineStr">
        <is>
          <t>H0608</t>
        </is>
      </c>
      <c r="F154" t="inlineStr">
        <is>
          <t>桃園市桃園區富國路577號旁空地</t>
        </is>
      </c>
      <c r="G154" t="n">
        <v>25.018667</v>
      </c>
      <c r="H154" t="n">
        <v>121.283689</v>
      </c>
      <c r="I154" t="n">
        <v>8</v>
      </c>
      <c r="J154" t="n">
        <v>3</v>
      </c>
      <c r="K154" t="n">
        <v>159.9</v>
      </c>
      <c r="L154" t="inlineStr">
        <is>
          <t>Primary</t>
        </is>
      </c>
    </row>
    <row r="155">
      <c r="A155" t="n">
        <v>1</v>
      </c>
      <c r="B155" s="22" t="inlineStr">
        <is>
          <t>S02</t>
        </is>
      </c>
      <c r="C155" t="inlineStr">
        <is>
          <t>PZ-A</t>
        </is>
      </c>
      <c r="D155" t="n">
        <v>12</v>
      </c>
      <c r="E155" t="inlineStr">
        <is>
          <t>H0606</t>
        </is>
      </c>
      <c r="F155" t="inlineStr">
        <is>
          <t>桃園市桃園區莊敬路二段及敬三街口</t>
        </is>
      </c>
      <c r="G155" t="n">
        <v>25.02171866666667</v>
      </c>
      <c r="H155" t="n">
        <v>121.28956</v>
      </c>
      <c r="I155" t="n">
        <v>24</v>
      </c>
      <c r="J155" t="n">
        <v>3</v>
      </c>
      <c r="K155" t="n">
        <v>186.9</v>
      </c>
      <c r="L155" t="inlineStr">
        <is>
          <t>Primary</t>
        </is>
      </c>
    </row>
    <row r="156">
      <c r="A156" t="n">
        <v>1</v>
      </c>
      <c r="B156" s="22" t="inlineStr">
        <is>
          <t>S02</t>
        </is>
      </c>
      <c r="C156" t="inlineStr">
        <is>
          <t>PZ-A</t>
        </is>
      </c>
      <c r="D156" t="n">
        <v>13</v>
      </c>
      <c r="E156" t="inlineStr">
        <is>
          <t>H0575</t>
        </is>
      </c>
      <c r="F156" t="inlineStr">
        <is>
          <t>桃園市桃園區水岸五街50號對面</t>
        </is>
      </c>
      <c r="G156" t="n">
        <v>25.030203</v>
      </c>
      <c r="H156" t="n">
        <v>121.295994</v>
      </c>
      <c r="I156" t="n">
        <v>8</v>
      </c>
      <c r="J156" t="n">
        <v>3</v>
      </c>
      <c r="K156" t="n">
        <v>197.9</v>
      </c>
      <c r="L156" t="inlineStr">
        <is>
          <t>Primary</t>
        </is>
      </c>
    </row>
    <row r="157">
      <c r="A157" t="n">
        <v>1</v>
      </c>
      <c r="B157" s="22" t="inlineStr">
        <is>
          <t>S02</t>
        </is>
      </c>
      <c r="C157" t="inlineStr">
        <is>
          <t>PZ-A</t>
        </is>
      </c>
      <c r="D157" t="n">
        <v>14</v>
      </c>
      <c r="E157" t="inlineStr">
        <is>
          <t>H0623</t>
        </is>
      </c>
      <c r="F157" t="inlineStr">
        <is>
          <t>桃園市桃園區經國二路87號對面工地</t>
        </is>
      </c>
      <c r="G157" t="n">
        <v>25.029728</v>
      </c>
      <c r="H157" t="n">
        <v>121.297636</v>
      </c>
      <c r="I157" t="n">
        <v>8</v>
      </c>
      <c r="J157" t="n">
        <v>3</v>
      </c>
      <c r="K157" t="n">
        <v>208.9</v>
      </c>
      <c r="L157" t="inlineStr">
        <is>
          <t>Primary</t>
        </is>
      </c>
    </row>
    <row r="158">
      <c r="A158" t="n">
        <v>1</v>
      </c>
      <c r="B158" s="22" t="inlineStr">
        <is>
          <t>S02</t>
        </is>
      </c>
      <c r="C158" t="inlineStr">
        <is>
          <t>PZ-A</t>
        </is>
      </c>
      <c r="D158" t="n">
        <v>15</v>
      </c>
      <c r="E158" t="inlineStr">
        <is>
          <t>H0622</t>
        </is>
      </c>
      <c r="F158" t="inlineStr">
        <is>
          <t>桃園市桃園區經國二路83號旁</t>
        </is>
      </c>
      <c r="G158" t="n">
        <v>25.029636</v>
      </c>
      <c r="H158" t="n">
        <v>121.297611</v>
      </c>
      <c r="I158" t="n">
        <v>8</v>
      </c>
      <c r="J158" t="n">
        <v>2</v>
      </c>
      <c r="K158" t="n">
        <v>218.9</v>
      </c>
      <c r="L158" t="inlineStr">
        <is>
          <t>Primary</t>
        </is>
      </c>
    </row>
    <row r="159">
      <c r="A159" t="n">
        <v>1</v>
      </c>
      <c r="B159" s="22" t="inlineStr">
        <is>
          <t>S02</t>
        </is>
      </c>
      <c r="C159" t="inlineStr">
        <is>
          <t>PZ-A</t>
        </is>
      </c>
      <c r="D159" t="n">
        <v>16</v>
      </c>
      <c r="E159" t="inlineStr">
        <is>
          <t>H0591</t>
        </is>
      </c>
      <c r="F159" t="inlineStr">
        <is>
          <t>桃園市桃園區有恆路161號</t>
        </is>
      </c>
      <c r="G159" t="n">
        <v>25.0308835</v>
      </c>
      <c r="H159" t="n">
        <v>121.298568</v>
      </c>
      <c r="I159" t="n">
        <v>32</v>
      </c>
      <c r="J159" t="n">
        <v>3</v>
      </c>
      <c r="K159" t="n">
        <v>253.9</v>
      </c>
      <c r="L159" t="inlineStr">
        <is>
          <t>Primary</t>
        </is>
      </c>
    </row>
    <row r="160">
      <c r="A160" t="n">
        <v>1</v>
      </c>
      <c r="B160" s="22" t="inlineStr">
        <is>
          <t>S02</t>
        </is>
      </c>
      <c r="C160" t="inlineStr">
        <is>
          <t>PZ-A</t>
        </is>
      </c>
      <c r="D160" t="n">
        <v>17</v>
      </c>
      <c r="E160" t="inlineStr">
        <is>
          <t>H0624</t>
        </is>
      </c>
      <c r="F160" t="inlineStr">
        <is>
          <t>桃園市桃園區經國路&amp;有恆路交叉路口工地</t>
        </is>
      </c>
      <c r="G160" t="n">
        <v>25.031728</v>
      </c>
      <c r="H160" t="n">
        <v>121.299561</v>
      </c>
      <c r="I160" t="n">
        <v>16</v>
      </c>
      <c r="J160" t="n">
        <v>3</v>
      </c>
      <c r="K160" t="n">
        <v>272.9</v>
      </c>
      <c r="L160" t="inlineStr">
        <is>
          <t>Primary</t>
        </is>
      </c>
    </row>
    <row r="161">
      <c r="A161" t="n">
        <v>1</v>
      </c>
      <c r="B161" s="22" t="inlineStr">
        <is>
          <t>S02</t>
        </is>
      </c>
      <c r="C161" t="inlineStr">
        <is>
          <t>PZ-A</t>
        </is>
      </c>
      <c r="D161" t="n">
        <v>18</v>
      </c>
      <c r="E161" t="inlineStr">
        <is>
          <t>H0625</t>
        </is>
      </c>
      <c r="F161" t="inlineStr">
        <is>
          <t>桃園市桃園區經國路855號</t>
        </is>
      </c>
      <c r="G161" t="n">
        <v>25.0301265</v>
      </c>
      <c r="H161" t="n">
        <v>121.3005155</v>
      </c>
      <c r="I161" t="n">
        <v>16</v>
      </c>
      <c r="J161" t="n">
        <v>3</v>
      </c>
      <c r="K161" t="n">
        <v>291.9</v>
      </c>
      <c r="L161" t="inlineStr">
        <is>
          <t>Primary</t>
        </is>
      </c>
    </row>
    <row r="162">
      <c r="A162" t="n">
        <v>1</v>
      </c>
      <c r="B162" s="22" t="inlineStr">
        <is>
          <t>S02</t>
        </is>
      </c>
      <c r="C162" t="inlineStr">
        <is>
          <t>PZ-A</t>
        </is>
      </c>
      <c r="D162" t="n">
        <v>19</v>
      </c>
      <c r="E162" t="inlineStr">
        <is>
          <t>H0957</t>
        </is>
      </c>
      <c r="F162" t="inlineStr">
        <is>
          <t>桃園市蘆竹區建新街43號旁</t>
        </is>
      </c>
      <c r="G162" t="n">
        <v>25.0378</v>
      </c>
      <c r="H162" t="n">
        <v>121.300111</v>
      </c>
      <c r="I162" t="n">
        <v>16</v>
      </c>
      <c r="J162" t="n">
        <v>3</v>
      </c>
      <c r="K162" t="n">
        <v>310.9</v>
      </c>
      <c r="L162" t="inlineStr">
        <is>
          <t>Primary</t>
        </is>
      </c>
    </row>
    <row r="163">
      <c r="A163" t="n">
        <v>1</v>
      </c>
      <c r="B163" s="22" t="inlineStr">
        <is>
          <t>S02</t>
        </is>
      </c>
      <c r="C163" t="inlineStr">
        <is>
          <t>PZ-A</t>
        </is>
      </c>
      <c r="D163" t="n">
        <v>20</v>
      </c>
      <c r="E163" t="inlineStr">
        <is>
          <t>H0970</t>
        </is>
      </c>
      <c r="F163" t="inlineStr">
        <is>
          <t>桃園市蘆竹區新南路１段376號-長榮航空園區-電聯定位</t>
        </is>
      </c>
      <c r="G163" t="n">
        <v>25.0400333</v>
      </c>
      <c r="H163" t="n">
        <v>121.2971712</v>
      </c>
      <c r="I163" t="n">
        <v>16</v>
      </c>
      <c r="J163" t="n">
        <v>3</v>
      </c>
      <c r="K163" t="n">
        <v>329.9</v>
      </c>
      <c r="L163" t="inlineStr">
        <is>
          <t>Primary</t>
        </is>
      </c>
    </row>
    <row r="164">
      <c r="A164" t="n">
        <v>1</v>
      </c>
      <c r="B164" s="22" t="inlineStr">
        <is>
          <t>S02</t>
        </is>
      </c>
      <c r="C164" t="inlineStr">
        <is>
          <t>PZ-A</t>
        </is>
      </c>
      <c r="D164" t="n">
        <v>21</v>
      </c>
      <c r="E164" t="inlineStr">
        <is>
          <t>H0970</t>
        </is>
      </c>
      <c r="F164" t="inlineStr">
        <is>
          <t>桃園市蘆竹區新南路１段376號-長榮航空園區-電聯定位</t>
        </is>
      </c>
      <c r="G164" t="n">
        <v>25.040569</v>
      </c>
      <c r="H164" t="n">
        <v>121.29708</v>
      </c>
      <c r="I164" t="n">
        <v>16</v>
      </c>
      <c r="J164" t="n">
        <v>2</v>
      </c>
      <c r="K164" t="n">
        <v>347.9</v>
      </c>
      <c r="L164" t="inlineStr">
        <is>
          <t>Primary</t>
        </is>
      </c>
    </row>
    <row r="165">
      <c r="A165" t="n">
        <v>1</v>
      </c>
      <c r="B165" s="22" t="inlineStr">
        <is>
          <t>S02</t>
        </is>
      </c>
      <c r="C165" t="inlineStr">
        <is>
          <t>PZ-A</t>
        </is>
      </c>
      <c r="D165" t="n">
        <v>22</v>
      </c>
      <c r="E165" t="inlineStr">
        <is>
          <t>H0955</t>
        </is>
      </c>
      <c r="F165" t="inlineStr">
        <is>
          <t>桃園市蘆竹區南福街192號對面工地</t>
        </is>
      </c>
      <c r="G165" t="n">
        <v>25.03833</v>
      </c>
      <c r="H165" t="n">
        <v>121.293205</v>
      </c>
      <c r="I165" t="n">
        <v>16</v>
      </c>
      <c r="J165" t="n">
        <v>3</v>
      </c>
      <c r="K165" t="n">
        <v>366.9</v>
      </c>
      <c r="L165" t="inlineStr">
        <is>
          <t>Primary</t>
        </is>
      </c>
    </row>
    <row r="166">
      <c r="A166" t="n">
        <v>1</v>
      </c>
      <c r="B166" s="22" t="inlineStr">
        <is>
          <t>S02</t>
        </is>
      </c>
      <c r="C166" t="inlineStr">
        <is>
          <t>PZ-A</t>
        </is>
      </c>
      <c r="D166" t="n">
        <v>23</v>
      </c>
      <c r="E166" t="inlineStr">
        <is>
          <t>H0956</t>
        </is>
      </c>
      <c r="F166" t="inlineStr">
        <is>
          <t>桃園市蘆竹區南福街255巷37號對面</t>
        </is>
      </c>
      <c r="G166" t="n">
        <v>25.036811</v>
      </c>
      <c r="H166" t="n">
        <v>121.293014</v>
      </c>
      <c r="I166" t="n">
        <v>8</v>
      </c>
      <c r="J166" t="n">
        <v>3</v>
      </c>
      <c r="K166" t="n">
        <v>377.9</v>
      </c>
      <c r="L166" t="inlineStr">
        <is>
          <t>Primary</t>
        </is>
      </c>
    </row>
    <row r="167">
      <c r="A167" t="n">
        <v>1</v>
      </c>
      <c r="B167" s="22" t="inlineStr">
        <is>
          <t>S02</t>
        </is>
      </c>
      <c r="C167" t="inlineStr">
        <is>
          <t>PZ-A</t>
        </is>
      </c>
      <c r="D167" t="n">
        <v>24</v>
      </c>
      <c r="E167" t="inlineStr">
        <is>
          <t>H0066</t>
        </is>
      </c>
      <c r="F167" t="inlineStr">
        <is>
          <t>桃園市大園區三民路二段&amp;坑?路交叉口</t>
        </is>
      </c>
      <c r="G167" t="n">
        <v>25.034455</v>
      </c>
      <c r="H167" t="n">
        <v>121.287247</v>
      </c>
      <c r="I167" t="n">
        <v>8</v>
      </c>
      <c r="J167" t="n">
        <v>3</v>
      </c>
      <c r="K167" t="n">
        <v>388.9</v>
      </c>
      <c r="L167" t="inlineStr">
        <is>
          <t>Primary</t>
        </is>
      </c>
    </row>
    <row r="168">
      <c r="A168" t="n">
        <v>1</v>
      </c>
      <c r="B168" s="22" t="inlineStr">
        <is>
          <t>S02</t>
        </is>
      </c>
      <c r="C168" t="inlineStr">
        <is>
          <t>PZ-A</t>
        </is>
      </c>
      <c r="D168" t="n">
        <v>25</v>
      </c>
      <c r="E168" t="inlineStr">
        <is>
          <t>H0921</t>
        </is>
      </c>
      <c r="F168" t="inlineStr">
        <is>
          <t>桃園市蘆竹區中正北路321號(捷運工地)-電聯+座標定位</t>
        </is>
      </c>
      <c r="G168" t="n">
        <v>25.0355987</v>
      </c>
      <c r="H168" t="n">
        <v>121.2858806</v>
      </c>
      <c r="I168" t="n">
        <v>16</v>
      </c>
      <c r="J168" t="n">
        <v>3</v>
      </c>
      <c r="K168" t="n">
        <v>407.9</v>
      </c>
      <c r="L168" t="inlineStr">
        <is>
          <t>Primary</t>
        </is>
      </c>
    </row>
    <row r="169">
      <c r="A169" t="n">
        <v>1</v>
      </c>
      <c r="B169" s="22" t="inlineStr">
        <is>
          <t>S02</t>
        </is>
      </c>
      <c r="C169" t="inlineStr">
        <is>
          <t>PZ-A</t>
        </is>
      </c>
      <c r="D169" t="n">
        <v>26</v>
      </c>
      <c r="E169" t="inlineStr">
        <is>
          <t>H0922</t>
        </is>
      </c>
      <c r="F169" t="inlineStr">
        <is>
          <t>桃園市蘆竹區中正北路與南竹路二段交叉口捷運G13工地-電聯定位</t>
        </is>
      </c>
      <c r="G169" t="n">
        <v>25.0386921</v>
      </c>
      <c r="H169" t="n">
        <v>121.2827884</v>
      </c>
      <c r="I169" t="n">
        <v>16</v>
      </c>
      <c r="J169" t="n">
        <v>3</v>
      </c>
      <c r="K169" t="n">
        <v>426.9</v>
      </c>
      <c r="L169" t="inlineStr">
        <is>
          <t>Primary</t>
        </is>
      </c>
    </row>
    <row r="170">
      <c r="A170" t="n">
        <v>1</v>
      </c>
      <c r="B170" s="22" t="inlineStr">
        <is>
          <t>S02</t>
        </is>
      </c>
      <c r="C170" t="inlineStr">
        <is>
          <t>PZ-A</t>
        </is>
      </c>
      <c r="D170" t="n">
        <v>27</v>
      </c>
      <c r="E170" t="inlineStr">
        <is>
          <t>H0921</t>
        </is>
      </c>
      <c r="F170" t="inlineStr">
        <is>
          <t>桃園市蘆竹區中正北路321號(捷運工地)-電聯+座標定位</t>
        </is>
      </c>
      <c r="G170" t="n">
        <v>25.038727</v>
      </c>
      <c r="H170" t="n">
        <v>121.282742</v>
      </c>
      <c r="I170" t="n">
        <v>16</v>
      </c>
      <c r="J170" t="n">
        <v>2</v>
      </c>
      <c r="K170" t="n">
        <v>444.9</v>
      </c>
      <c r="L170" t="inlineStr">
        <is>
          <t>Primary</t>
        </is>
      </c>
    </row>
    <row r="171">
      <c r="A171" t="n">
        <v>1</v>
      </c>
      <c r="B171" s="22" t="inlineStr">
        <is>
          <t>S02</t>
        </is>
      </c>
      <c r="C171" t="inlineStr">
        <is>
          <t>PZ-A</t>
        </is>
      </c>
      <c r="D171" t="n">
        <v>28</v>
      </c>
      <c r="E171" t="inlineStr">
        <is>
          <t>H0923</t>
        </is>
      </c>
      <c r="F171" t="inlineStr">
        <is>
          <t>桃園市蘆竹區中正北路與南竹路二段交叉口捷運工程工地-電聯定位</t>
        </is>
      </c>
      <c r="G171" t="n">
        <v>25.038727</v>
      </c>
      <c r="H171" t="n">
        <v>121.282742</v>
      </c>
      <c r="I171" t="n">
        <v>16</v>
      </c>
      <c r="J171" t="n">
        <v>2</v>
      </c>
      <c r="K171" t="n">
        <v>462.9</v>
      </c>
      <c r="L171" t="inlineStr">
        <is>
          <t>Primary</t>
        </is>
      </c>
    </row>
    <row r="172">
      <c r="A172" t="n">
        <v>1</v>
      </c>
      <c r="B172" s="22" t="inlineStr">
        <is>
          <t>S02</t>
        </is>
      </c>
      <c r="C172" t="inlineStr">
        <is>
          <t>PZ-A</t>
        </is>
      </c>
      <c r="D172" t="n">
        <v>29</v>
      </c>
      <c r="E172" t="inlineStr">
        <is>
          <t>H0950</t>
        </is>
      </c>
      <c r="F172" t="inlineStr">
        <is>
          <t>桃園市蘆竹區南竹路２段216-6號捷運工地-電聯定位</t>
        </is>
      </c>
      <c r="G172" t="n">
        <v>25.0381553</v>
      </c>
      <c r="H172" t="n">
        <v>121.2818543</v>
      </c>
      <c r="I172" t="n">
        <v>32</v>
      </c>
      <c r="J172" t="n">
        <v>3</v>
      </c>
      <c r="K172" t="n">
        <v>497.9</v>
      </c>
      <c r="L172" t="inlineStr">
        <is>
          <t>Primary</t>
        </is>
      </c>
    </row>
    <row r="173">
      <c r="A173" t="n">
        <v>1</v>
      </c>
      <c r="B173" s="22" t="inlineStr">
        <is>
          <t>S02</t>
        </is>
      </c>
      <c r="C173" t="inlineStr">
        <is>
          <t>PZ-A</t>
        </is>
      </c>
      <c r="D173" t="n">
        <v>30</v>
      </c>
      <c r="E173" t="inlineStr">
        <is>
          <t>H0920</t>
        </is>
      </c>
      <c r="F173" t="inlineStr">
        <is>
          <t>桃園市蘆竹區中正北路(座標定位)-電聯定位</t>
        </is>
      </c>
      <c r="G173" t="n">
        <v>25.0397432</v>
      </c>
      <c r="H173" t="n">
        <v>121.2816253</v>
      </c>
      <c r="I173" t="n">
        <v>16</v>
      </c>
      <c r="J173" t="n">
        <v>3</v>
      </c>
      <c r="K173" t="n">
        <v>516.9</v>
      </c>
      <c r="L173" t="inlineStr">
        <is>
          <t>Primary</t>
        </is>
      </c>
    </row>
    <row r="174">
      <c r="A174" t="n">
        <v>2</v>
      </c>
      <c r="B174" s="22" t="inlineStr">
        <is>
          <t>S02</t>
        </is>
      </c>
      <c r="C174" t="inlineStr">
        <is>
          <t>PZ-A</t>
        </is>
      </c>
      <c r="D174" t="n">
        <v>1</v>
      </c>
      <c r="E174" t="inlineStr">
        <is>
          <t>H0595</t>
        </is>
      </c>
      <c r="F174" t="inlineStr">
        <is>
          <t>桃園市桃園區延壽街7號旁工地</t>
        </is>
      </c>
      <c r="G174" t="n">
        <v>24.99163</v>
      </c>
      <c r="H174" t="n">
        <v>121.293661</v>
      </c>
      <c r="I174" t="n">
        <v>8</v>
      </c>
      <c r="J174" t="n">
        <v>11.6</v>
      </c>
      <c r="K174" t="n">
        <v>19.6</v>
      </c>
      <c r="L174" t="inlineStr">
        <is>
          <t>Primary</t>
        </is>
      </c>
    </row>
    <row r="175">
      <c r="A175" t="n">
        <v>2</v>
      </c>
      <c r="B175" s="22" t="inlineStr">
        <is>
          <t>S02</t>
        </is>
      </c>
      <c r="C175" t="inlineStr">
        <is>
          <t>PZ-A</t>
        </is>
      </c>
      <c r="D175" t="n">
        <v>2</v>
      </c>
      <c r="E175" t="inlineStr">
        <is>
          <t>H0556</t>
        </is>
      </c>
      <c r="F175" t="inlineStr">
        <is>
          <t>桃園市桃園區力行路469巷58號5號對面工地</t>
        </is>
      </c>
      <c r="G175" t="n">
        <v>24.997414</v>
      </c>
      <c r="H175" t="n">
        <v>121.294297</v>
      </c>
      <c r="I175" t="n">
        <v>8</v>
      </c>
      <c r="J175" t="n">
        <v>3</v>
      </c>
      <c r="K175" t="n">
        <v>30.6</v>
      </c>
      <c r="L175" t="inlineStr">
        <is>
          <t>Primary</t>
        </is>
      </c>
    </row>
    <row r="176">
      <c r="A176" t="n">
        <v>2</v>
      </c>
      <c r="B176" s="22" t="inlineStr">
        <is>
          <t>S02</t>
        </is>
      </c>
      <c r="C176" t="inlineStr">
        <is>
          <t>PZ-A</t>
        </is>
      </c>
      <c r="D176" t="n">
        <v>3</v>
      </c>
      <c r="E176" t="inlineStr">
        <is>
          <t>H0555</t>
        </is>
      </c>
      <c r="F176" t="inlineStr">
        <is>
          <t>桃園市桃園區力行路222巷33號</t>
        </is>
      </c>
      <c r="G176" t="n">
        <v>25.001397</v>
      </c>
      <c r="H176" t="n">
        <v>121.299483</v>
      </c>
      <c r="I176" t="n">
        <v>8</v>
      </c>
      <c r="J176" t="n">
        <v>3</v>
      </c>
      <c r="K176" t="n">
        <v>41.6</v>
      </c>
      <c r="L176" t="inlineStr">
        <is>
          <t>Primary</t>
        </is>
      </c>
    </row>
    <row r="177">
      <c r="A177" t="n">
        <v>2</v>
      </c>
      <c r="B177" s="22" t="inlineStr">
        <is>
          <t>S02</t>
        </is>
      </c>
      <c r="C177" t="inlineStr">
        <is>
          <t>PZ-A</t>
        </is>
      </c>
      <c r="D177" t="n">
        <v>4</v>
      </c>
      <c r="E177" t="inlineStr">
        <is>
          <t>H0614</t>
        </is>
      </c>
      <c r="F177" t="inlineStr">
        <is>
          <t>桃園市桃園區愛二街&amp;愛國街交叉口</t>
        </is>
      </c>
      <c r="G177" t="n">
        <v>25.002544</v>
      </c>
      <c r="H177" t="n">
        <v>121.301078</v>
      </c>
      <c r="I177" t="n">
        <v>8</v>
      </c>
      <c r="J177" t="n">
        <v>3</v>
      </c>
      <c r="K177" t="n">
        <v>52.6</v>
      </c>
      <c r="L177" t="inlineStr">
        <is>
          <t>Primary</t>
        </is>
      </c>
    </row>
    <row r="178">
      <c r="A178" t="n">
        <v>2</v>
      </c>
      <c r="B178" s="22" t="inlineStr">
        <is>
          <t>S02</t>
        </is>
      </c>
      <c r="C178" t="inlineStr">
        <is>
          <t>PZ-A</t>
        </is>
      </c>
      <c r="D178" t="n">
        <v>5</v>
      </c>
      <c r="E178" t="inlineStr">
        <is>
          <t>H0613</t>
        </is>
      </c>
      <c r="F178" t="inlineStr">
        <is>
          <t>桃園市桃園區愛一街8號-附地標</t>
        </is>
      </c>
      <c r="G178" t="n">
        <v>25.002575</v>
      </c>
      <c r="H178" t="n">
        <v>121.30385</v>
      </c>
      <c r="I178" t="n">
        <v>8</v>
      </c>
      <c r="J178" t="n">
        <v>3</v>
      </c>
      <c r="K178" t="n">
        <v>63.6</v>
      </c>
      <c r="L178" t="inlineStr">
        <is>
          <t>Primary</t>
        </is>
      </c>
    </row>
    <row r="179">
      <c r="A179" t="n">
        <v>2</v>
      </c>
      <c r="B179" s="22" t="inlineStr">
        <is>
          <t>S02</t>
        </is>
      </c>
      <c r="C179" t="inlineStr">
        <is>
          <t>PZ-A</t>
        </is>
      </c>
      <c r="D179" t="n">
        <v>6</v>
      </c>
      <c r="E179" t="inlineStr">
        <is>
          <t>H0565</t>
        </is>
      </c>
      <c r="F179" t="inlineStr">
        <is>
          <t>桃園市桃園區中正路457號旁</t>
        </is>
      </c>
      <c r="G179" t="n">
        <v>25.00173285714285</v>
      </c>
      <c r="H179" t="n">
        <v>121.3066711428571</v>
      </c>
      <c r="I179" t="n">
        <v>96</v>
      </c>
      <c r="J179" t="n">
        <v>3</v>
      </c>
      <c r="K179" t="n">
        <v>162.6</v>
      </c>
      <c r="L179" t="inlineStr">
        <is>
          <t>Primary</t>
        </is>
      </c>
    </row>
    <row r="180">
      <c r="A180" t="n">
        <v>2</v>
      </c>
      <c r="B180" s="22" t="inlineStr">
        <is>
          <t>S02</t>
        </is>
      </c>
      <c r="C180" t="inlineStr">
        <is>
          <t>PZ-A</t>
        </is>
      </c>
      <c r="D180" t="n">
        <v>7</v>
      </c>
      <c r="E180" t="inlineStr">
        <is>
          <t>H0566</t>
        </is>
      </c>
      <c r="F180" t="inlineStr">
        <is>
          <t>桃園市桃園區中正路457號旁-11F</t>
        </is>
      </c>
      <c r="G180" t="n">
        <v>25.001858</v>
      </c>
      <c r="H180" t="n">
        <v>121.306714</v>
      </c>
      <c r="I180" t="n">
        <v>16</v>
      </c>
      <c r="J180" t="n">
        <v>2</v>
      </c>
      <c r="K180" t="n">
        <v>180.6</v>
      </c>
      <c r="L180" t="inlineStr">
        <is>
          <t>Primary</t>
        </is>
      </c>
    </row>
    <row r="181">
      <c r="A181" t="n">
        <v>2</v>
      </c>
      <c r="B181" s="22" t="inlineStr">
        <is>
          <t>S02</t>
        </is>
      </c>
      <c r="C181" t="inlineStr">
        <is>
          <t>PZ-A</t>
        </is>
      </c>
      <c r="D181" t="n">
        <v>8</v>
      </c>
      <c r="E181" t="inlineStr">
        <is>
          <t>H0577</t>
        </is>
      </c>
      <c r="F181" t="inlineStr">
        <is>
          <t>桃園市桃園區正康一街81號旁</t>
        </is>
      </c>
      <c r="G181" t="n">
        <v>25.001444</v>
      </c>
      <c r="H181" t="n">
        <v>121.307389</v>
      </c>
      <c r="I181" t="n">
        <v>8</v>
      </c>
      <c r="J181" t="n">
        <v>2</v>
      </c>
      <c r="K181" t="n">
        <v>190.6</v>
      </c>
      <c r="L181" t="inlineStr">
        <is>
          <t>Primary</t>
        </is>
      </c>
    </row>
    <row r="182">
      <c r="A182" t="n">
        <v>2</v>
      </c>
      <c r="B182" s="22" t="inlineStr">
        <is>
          <t>S02</t>
        </is>
      </c>
      <c r="C182" t="inlineStr">
        <is>
          <t>PZ-A</t>
        </is>
      </c>
      <c r="D182" t="n">
        <v>9</v>
      </c>
      <c r="E182" t="inlineStr">
        <is>
          <t>H0576</t>
        </is>
      </c>
      <c r="F182" t="inlineStr">
        <is>
          <t>桃園市桃園區正康一街136巷14號旁</t>
        </is>
      </c>
      <c r="G182" t="n">
        <v>25.003444</v>
      </c>
      <c r="H182" t="n">
        <v>121.307753</v>
      </c>
      <c r="I182" t="n">
        <v>8</v>
      </c>
      <c r="J182" t="n">
        <v>3</v>
      </c>
      <c r="K182" t="n">
        <v>201.6</v>
      </c>
      <c r="L182" t="inlineStr">
        <is>
          <t>Primary</t>
        </is>
      </c>
    </row>
    <row r="183">
      <c r="A183" t="n">
        <v>2</v>
      </c>
      <c r="B183" s="22" t="inlineStr">
        <is>
          <t>S02</t>
        </is>
      </c>
      <c r="C183" t="inlineStr">
        <is>
          <t>PZ-A</t>
        </is>
      </c>
      <c r="D183" t="n">
        <v>10</v>
      </c>
      <c r="E183" t="inlineStr">
        <is>
          <t>H0605</t>
        </is>
      </c>
      <c r="F183" t="inlineStr">
        <is>
          <t>桃園市桃園區桃鶯路525巷23號旁</t>
        </is>
      </c>
      <c r="G183" t="n">
        <v>24.974723</v>
      </c>
      <c r="H183" t="n">
        <v>121.3258</v>
      </c>
      <c r="I183" t="n">
        <v>16</v>
      </c>
      <c r="J183" t="n">
        <v>8.800000000000001</v>
      </c>
      <c r="K183" t="n">
        <v>226.4</v>
      </c>
      <c r="L183" t="inlineStr">
        <is>
          <t>Primary</t>
        </is>
      </c>
    </row>
    <row r="184">
      <c r="A184" t="n">
        <v>2</v>
      </c>
      <c r="B184" s="22" t="inlineStr">
        <is>
          <t>S02</t>
        </is>
      </c>
      <c r="C184" t="inlineStr">
        <is>
          <t>PZ-A</t>
        </is>
      </c>
      <c r="D184" t="n">
        <v>11</v>
      </c>
      <c r="E184" t="inlineStr">
        <is>
          <t>H0836</t>
        </is>
      </c>
      <c r="F184" t="inlineStr">
        <is>
          <t>桃園市龜山區大同路1390號</t>
        </is>
      </c>
      <c r="G184" t="n">
        <v>24.988889</v>
      </c>
      <c r="H184" t="n">
        <v>121.371611</v>
      </c>
      <c r="I184" t="n">
        <v>8</v>
      </c>
      <c r="J184" t="n">
        <v>11.7</v>
      </c>
      <c r="K184" t="n">
        <v>246.1</v>
      </c>
      <c r="L184" t="inlineStr">
        <is>
          <t>Primary</t>
        </is>
      </c>
    </row>
    <row r="185">
      <c r="A185" t="n">
        <v>2</v>
      </c>
      <c r="B185" s="22" t="inlineStr">
        <is>
          <t>S02</t>
        </is>
      </c>
      <c r="C185" t="inlineStr">
        <is>
          <t>PZ-A</t>
        </is>
      </c>
      <c r="D185" t="n">
        <v>12</v>
      </c>
      <c r="E185" t="inlineStr">
        <is>
          <t>H0865</t>
        </is>
      </c>
      <c r="F185" t="inlineStr">
        <is>
          <t>桃園市龜山區東萬壽路389號(信華氣體旁工地)</t>
        </is>
      </c>
      <c r="G185" t="n">
        <v>25.009497</v>
      </c>
      <c r="H185" t="n">
        <v>121.383927</v>
      </c>
      <c r="I185" t="n">
        <v>8</v>
      </c>
      <c r="J185" t="n">
        <v>6.3</v>
      </c>
      <c r="K185" t="n">
        <v>260.4</v>
      </c>
      <c r="L185" t="inlineStr">
        <is>
          <t>Primary</t>
        </is>
      </c>
    </row>
    <row r="186">
      <c r="A186" t="n">
        <v>2</v>
      </c>
      <c r="B186" s="22" t="inlineStr">
        <is>
          <t>S02</t>
        </is>
      </c>
      <c r="C186" t="inlineStr">
        <is>
          <t>PZ-A</t>
        </is>
      </c>
      <c r="D186" t="n">
        <v>13</v>
      </c>
      <c r="E186" t="inlineStr">
        <is>
          <t>H0872</t>
        </is>
      </c>
      <c r="F186" t="inlineStr">
        <is>
          <t>桃園市龜山區華亞一路&amp;科技九路交叉口工地</t>
        </is>
      </c>
      <c r="G186" t="n">
        <v>25.034067</v>
      </c>
      <c r="H186" t="n">
        <v>121.3732349</v>
      </c>
      <c r="I186" t="n">
        <v>96</v>
      </c>
      <c r="J186" t="n">
        <v>7</v>
      </c>
      <c r="K186" t="n">
        <v>363.4</v>
      </c>
      <c r="L186" t="inlineStr">
        <is>
          <t>Primary</t>
        </is>
      </c>
    </row>
    <row r="187">
      <c r="A187" t="n">
        <v>2</v>
      </c>
      <c r="B187" s="22" t="inlineStr">
        <is>
          <t>S02</t>
        </is>
      </c>
      <c r="C187" t="inlineStr">
        <is>
          <t>PZ-A</t>
        </is>
      </c>
      <c r="D187" t="n">
        <v>14</v>
      </c>
      <c r="E187" t="inlineStr">
        <is>
          <t>H0874</t>
        </is>
      </c>
      <c r="F187" t="inlineStr">
        <is>
          <t>桃園市龜山區華亞三路625號對面工地</t>
        </is>
      </c>
      <c r="G187" t="n">
        <v>25.035733</v>
      </c>
      <c r="H187" t="n">
        <v>121.378989</v>
      </c>
      <c r="I187" t="n">
        <v>8</v>
      </c>
      <c r="J187" t="n">
        <v>3</v>
      </c>
      <c r="K187" t="n">
        <v>374.4</v>
      </c>
      <c r="L187" t="inlineStr">
        <is>
          <t>Primary</t>
        </is>
      </c>
    </row>
    <row r="188">
      <c r="A188" t="n">
        <v>2</v>
      </c>
      <c r="B188" s="22" t="inlineStr">
        <is>
          <t>S02</t>
        </is>
      </c>
      <c r="C188" t="inlineStr">
        <is>
          <t>PZ-A</t>
        </is>
      </c>
      <c r="D188" t="n">
        <v>15</v>
      </c>
      <c r="E188" t="inlineStr">
        <is>
          <t>H0868</t>
        </is>
      </c>
      <c r="F188" t="inlineStr">
        <is>
          <t>桃園市龜山區青山路與文青路交叉口工地內</t>
        </is>
      </c>
      <c r="G188" t="n">
        <v>25.04</v>
      </c>
      <c r="H188" t="n">
        <v>121.387</v>
      </c>
      <c r="I188" t="n">
        <v>8</v>
      </c>
      <c r="J188" t="n">
        <v>3</v>
      </c>
      <c r="K188" t="n">
        <v>385.4</v>
      </c>
      <c r="L188" t="inlineStr">
        <is>
          <t>Primary</t>
        </is>
      </c>
    </row>
    <row r="189">
      <c r="A189" t="n">
        <v>2</v>
      </c>
      <c r="B189" s="22" t="inlineStr">
        <is>
          <t>S02</t>
        </is>
      </c>
      <c r="C189" t="inlineStr">
        <is>
          <t>PZ-A</t>
        </is>
      </c>
      <c r="D189" t="n">
        <v>16</v>
      </c>
      <c r="E189" t="inlineStr">
        <is>
          <t>H0858</t>
        </is>
      </c>
      <c r="F189" t="inlineStr">
        <is>
          <t>桃園市龜山區牛角坡與樂善二路交叉口工地-A棟</t>
        </is>
      </c>
      <c r="G189" t="n">
        <v>25.045601</v>
      </c>
      <c r="H189" t="n">
        <v>121.389344</v>
      </c>
      <c r="I189" t="n">
        <v>34</v>
      </c>
      <c r="J189" t="n">
        <v>3</v>
      </c>
      <c r="K189" t="n">
        <v>422.4</v>
      </c>
      <c r="L189" t="inlineStr">
        <is>
          <t>Primary</t>
        </is>
      </c>
    </row>
    <row r="190">
      <c r="A190" t="n">
        <v>2</v>
      </c>
      <c r="B190" s="22" t="inlineStr">
        <is>
          <t>S02</t>
        </is>
      </c>
      <c r="C190" t="inlineStr">
        <is>
          <t>PZ-A</t>
        </is>
      </c>
      <c r="D190" t="n">
        <v>17</v>
      </c>
      <c r="E190" t="inlineStr">
        <is>
          <t>H0859</t>
        </is>
      </c>
      <c r="F190" t="inlineStr">
        <is>
          <t>桃園市龜山區牛角坡與樂善二路交叉口工地-B棟</t>
        </is>
      </c>
      <c r="G190" t="n">
        <v>25.045601</v>
      </c>
      <c r="H190" t="n">
        <v>121.389344</v>
      </c>
      <c r="I190" t="n">
        <v>46</v>
      </c>
      <c r="J190" t="n">
        <v>2</v>
      </c>
      <c r="K190" t="n">
        <v>470.4</v>
      </c>
      <c r="L190" t="inlineStr">
        <is>
          <t>Primary</t>
        </is>
      </c>
    </row>
    <row r="191">
      <c r="A191" t="n">
        <v>2</v>
      </c>
      <c r="B191" s="22" t="inlineStr">
        <is>
          <t>S02</t>
        </is>
      </c>
      <c r="C191" t="inlineStr">
        <is>
          <t>PZ-A</t>
        </is>
      </c>
      <c r="D191" t="n">
        <v>18</v>
      </c>
      <c r="E191" t="inlineStr">
        <is>
          <t>H0857</t>
        </is>
      </c>
      <c r="F191" t="inlineStr">
        <is>
          <t>桃園市龜山區牛角坡與樂善二路交叉口工地-1F</t>
        </is>
      </c>
      <c r="G191" t="n">
        <v>25.045616</v>
      </c>
      <c r="H191" t="n">
        <v>121.38935</v>
      </c>
      <c r="I191" t="n">
        <v>8</v>
      </c>
      <c r="J191" t="n">
        <v>2</v>
      </c>
      <c r="K191" t="n">
        <v>480.4</v>
      </c>
      <c r="L191" t="inlineStr">
        <is>
          <t>Primary</t>
        </is>
      </c>
    </row>
    <row r="192">
      <c r="A192" t="n">
        <v>2</v>
      </c>
      <c r="B192" s="22" t="inlineStr">
        <is>
          <t>S02</t>
        </is>
      </c>
      <c r="C192" t="inlineStr">
        <is>
          <t>PZ-A</t>
        </is>
      </c>
      <c r="D192" t="n">
        <v>19</v>
      </c>
      <c r="E192" t="inlineStr">
        <is>
          <t>H0856</t>
        </is>
      </c>
      <c r="F192" t="inlineStr">
        <is>
          <t>桃園市龜山區牛角坡路135號旁</t>
        </is>
      </c>
      <c r="G192" t="n">
        <v>25.045615</v>
      </c>
      <c r="H192" t="n">
        <v>121.3893565</v>
      </c>
      <c r="I192" t="n">
        <v>16</v>
      </c>
      <c r="J192" t="n">
        <v>2</v>
      </c>
      <c r="K192" t="n">
        <v>498.4</v>
      </c>
      <c r="L192" t="inlineStr">
        <is>
          <t>Primary</t>
        </is>
      </c>
    </row>
    <row r="193">
      <c r="A193" t="n">
        <v>2</v>
      </c>
      <c r="B193" s="22" t="inlineStr">
        <is>
          <t>S02</t>
        </is>
      </c>
      <c r="C193" t="inlineStr">
        <is>
          <t>PZ-A</t>
        </is>
      </c>
      <c r="D193" t="n">
        <v>20</v>
      </c>
      <c r="E193" t="inlineStr">
        <is>
          <t>H0855</t>
        </is>
      </c>
      <c r="F193" t="inlineStr">
        <is>
          <t>桃園市龜山區牛角坡路115號</t>
        </is>
      </c>
      <c r="G193" t="n">
        <v>25.045652</v>
      </c>
      <c r="H193" t="n">
        <v>121.389516</v>
      </c>
      <c r="I193" t="n">
        <v>16</v>
      </c>
      <c r="J193" t="n">
        <v>2</v>
      </c>
      <c r="K193" t="n">
        <v>516.4</v>
      </c>
      <c r="L193" t="inlineStr">
        <is>
          <t>Primary</t>
        </is>
      </c>
    </row>
    <row r="194">
      <c r="A194" t="n">
        <v>3</v>
      </c>
      <c r="B194" s="22" t="inlineStr">
        <is>
          <t>S02</t>
        </is>
      </c>
      <c r="C194" t="inlineStr">
        <is>
          <t>PZ-A</t>
        </is>
      </c>
      <c r="D194" t="n">
        <v>1</v>
      </c>
      <c r="E194" t="inlineStr">
        <is>
          <t>H0176</t>
        </is>
      </c>
      <c r="F194" t="inlineStr">
        <is>
          <t>桃園市大園區五結段81.82地號-大園重劃區</t>
        </is>
      </c>
      <c r="G194" t="n">
        <v>25.032134</v>
      </c>
      <c r="H194" t="n">
        <v>121.227217</v>
      </c>
      <c r="I194" t="n">
        <v>8</v>
      </c>
      <c r="J194" t="n">
        <v>13.9</v>
      </c>
      <c r="K194" t="n">
        <v>21.9</v>
      </c>
      <c r="L194" t="inlineStr">
        <is>
          <t>Primary</t>
        </is>
      </c>
    </row>
    <row r="195">
      <c r="A195" t="n">
        <v>3</v>
      </c>
      <c r="B195" s="22" t="inlineStr">
        <is>
          <t>S02</t>
        </is>
      </c>
      <c r="C195" t="inlineStr">
        <is>
          <t>PZ-A</t>
        </is>
      </c>
      <c r="D195" t="n">
        <v>2</v>
      </c>
      <c r="E195" t="inlineStr">
        <is>
          <t>H0179</t>
        </is>
      </c>
      <c r="F195" t="inlineStr">
        <is>
          <t>桃園市大園區五福路697巷70號</t>
        </is>
      </c>
      <c r="G195" t="n">
        <v>25.033206</v>
      </c>
      <c r="H195" t="n">
        <v>121.227595</v>
      </c>
      <c r="I195" t="n">
        <v>8</v>
      </c>
      <c r="J195" t="n">
        <v>3</v>
      </c>
      <c r="K195" t="n">
        <v>32.9</v>
      </c>
      <c r="L195" t="inlineStr">
        <is>
          <t>Primary</t>
        </is>
      </c>
    </row>
    <row r="196">
      <c r="A196" t="n">
        <v>3</v>
      </c>
      <c r="B196" s="22" t="inlineStr">
        <is>
          <t>S02</t>
        </is>
      </c>
      <c r="C196" t="inlineStr">
        <is>
          <t>PZ-A</t>
        </is>
      </c>
      <c r="D196" t="n">
        <v>3</v>
      </c>
      <c r="E196" t="inlineStr">
        <is>
          <t>H0150</t>
        </is>
      </c>
      <c r="F196" t="inlineStr">
        <is>
          <t>桃園市大園區中正東路2段108號</t>
        </is>
      </c>
      <c r="G196" t="n">
        <v>25.033489</v>
      </c>
      <c r="H196" t="n">
        <v>121.229681</v>
      </c>
      <c r="I196" t="n">
        <v>8</v>
      </c>
      <c r="J196" t="n">
        <v>3</v>
      </c>
      <c r="K196" t="n">
        <v>43.9</v>
      </c>
      <c r="L196" t="inlineStr">
        <is>
          <t>Primary</t>
        </is>
      </c>
    </row>
    <row r="197">
      <c r="A197" t="n">
        <v>3</v>
      </c>
      <c r="B197" s="22" t="inlineStr">
        <is>
          <t>S02</t>
        </is>
      </c>
      <c r="C197" t="inlineStr">
        <is>
          <t>PZ-A</t>
        </is>
      </c>
      <c r="D197" t="n">
        <v>4</v>
      </c>
      <c r="E197" t="inlineStr">
        <is>
          <t>H0156</t>
        </is>
      </c>
      <c r="F197" t="inlineStr">
        <is>
          <t>桃園市大園區中正東路一段189巷151-1號-橫埔段285地號-大園重劃區</t>
        </is>
      </c>
      <c r="G197" t="n">
        <v>25.046522</v>
      </c>
      <c r="H197" t="n">
        <v>121.226789</v>
      </c>
      <c r="I197" t="n">
        <v>8</v>
      </c>
      <c r="J197" t="n">
        <v>3.5</v>
      </c>
      <c r="K197" t="n">
        <v>55.5</v>
      </c>
      <c r="L197" t="inlineStr">
        <is>
          <t>Primary</t>
        </is>
      </c>
    </row>
    <row r="198">
      <c r="A198" t="n">
        <v>3</v>
      </c>
      <c r="B198" s="22" t="inlineStr">
        <is>
          <t>S02</t>
        </is>
      </c>
      <c r="C198" t="inlineStr">
        <is>
          <t>PZ-A</t>
        </is>
      </c>
      <c r="D198" t="n">
        <v>5</v>
      </c>
      <c r="E198" t="inlineStr">
        <is>
          <t>H0226</t>
        </is>
      </c>
      <c r="F198" t="inlineStr">
        <is>
          <t>桃園市大園區埔心六路-航空城</t>
        </is>
      </c>
      <c r="G198" t="n">
        <v>25.047011</v>
      </c>
      <c r="H198" t="n">
        <v>121.225775</v>
      </c>
      <c r="I198" t="n">
        <v>8</v>
      </c>
      <c r="J198" t="n">
        <v>3</v>
      </c>
      <c r="K198" t="n">
        <v>66.5</v>
      </c>
      <c r="L198" t="inlineStr">
        <is>
          <t>Primary</t>
        </is>
      </c>
    </row>
    <row r="199">
      <c r="A199" t="n">
        <v>3</v>
      </c>
      <c r="B199" s="22" t="inlineStr">
        <is>
          <t>S02</t>
        </is>
      </c>
      <c r="C199" t="inlineStr">
        <is>
          <t>PZ-A</t>
        </is>
      </c>
      <c r="D199" t="n">
        <v>6</v>
      </c>
      <c r="E199" t="inlineStr">
        <is>
          <t>H0130</t>
        </is>
      </c>
      <c r="F199" t="inlineStr">
        <is>
          <t>桃園市大園區大園重劃區-橫埔段368-368地號</t>
        </is>
      </c>
      <c r="G199" t="n">
        <v>25.047766</v>
      </c>
      <c r="H199" t="n">
        <v>121.225231</v>
      </c>
      <c r="I199" t="n">
        <v>8</v>
      </c>
      <c r="J199" t="n">
        <v>3</v>
      </c>
      <c r="K199" t="n">
        <v>77.5</v>
      </c>
      <c r="L199" t="inlineStr">
        <is>
          <t>Primary</t>
        </is>
      </c>
    </row>
    <row r="200">
      <c r="A200" t="n">
        <v>3</v>
      </c>
      <c r="B200" s="22" t="inlineStr">
        <is>
          <t>S02</t>
        </is>
      </c>
      <c r="C200" t="inlineStr">
        <is>
          <t>PZ-A</t>
        </is>
      </c>
      <c r="D200" t="n">
        <v>7</v>
      </c>
      <c r="E200" t="inlineStr">
        <is>
          <t>H0225</t>
        </is>
      </c>
      <c r="F200" t="inlineStr">
        <is>
          <t>桃園市大園區埔心一路及六路口-近埔心國小-電聯定位</t>
        </is>
      </c>
      <c r="G200" t="n">
        <v>25.047886</v>
      </c>
      <c r="H200" t="n">
        <v>121.226178</v>
      </c>
      <c r="I200" t="n">
        <v>8</v>
      </c>
      <c r="J200" t="n">
        <v>2</v>
      </c>
      <c r="K200" t="n">
        <v>87.5</v>
      </c>
      <c r="L200" t="inlineStr">
        <is>
          <t>Primary</t>
        </is>
      </c>
    </row>
    <row r="201">
      <c r="A201" t="n">
        <v>3</v>
      </c>
      <c r="B201" s="22" t="inlineStr">
        <is>
          <t>S02</t>
        </is>
      </c>
      <c r="C201" t="inlineStr">
        <is>
          <t>PZ-A</t>
        </is>
      </c>
      <c r="D201" t="n">
        <v>8</v>
      </c>
      <c r="E201" t="inlineStr">
        <is>
          <t>H0160</t>
        </is>
      </c>
      <c r="F201" t="inlineStr">
        <is>
          <t>桃園市大園區中正東路一段189巷83號</t>
        </is>
      </c>
      <c r="G201" t="n">
        <v>25.048069</v>
      </c>
      <c r="H201" t="n">
        <v>121.226609</v>
      </c>
      <c r="I201" t="n">
        <v>8</v>
      </c>
      <c r="J201" t="n">
        <v>2</v>
      </c>
      <c r="K201" t="n">
        <v>97.5</v>
      </c>
      <c r="L201" t="inlineStr">
        <is>
          <t>Primary</t>
        </is>
      </c>
    </row>
    <row r="202">
      <c r="A202" t="n">
        <v>3</v>
      </c>
      <c r="B202" s="22" t="inlineStr">
        <is>
          <t>S02</t>
        </is>
      </c>
      <c r="C202" t="inlineStr">
        <is>
          <t>PZ-A</t>
        </is>
      </c>
      <c r="D202" t="n">
        <v>9</v>
      </c>
      <c r="E202" t="inlineStr">
        <is>
          <t>H0152</t>
        </is>
      </c>
      <c r="F202" t="inlineStr">
        <is>
          <t>桃園市大園區中正東路一段189巷</t>
        </is>
      </c>
      <c r="G202" t="n">
        <v>25.047944</v>
      </c>
      <c r="H202" t="n">
        <v>121.227198</v>
      </c>
      <c r="I202" t="n">
        <v>8</v>
      </c>
      <c r="J202" t="n">
        <v>2</v>
      </c>
      <c r="K202" t="n">
        <v>107.5</v>
      </c>
      <c r="L202" t="inlineStr">
        <is>
          <t>Primary</t>
        </is>
      </c>
    </row>
    <row r="203">
      <c r="A203" t="n">
        <v>3</v>
      </c>
      <c r="B203" s="22" t="inlineStr">
        <is>
          <t>S02</t>
        </is>
      </c>
      <c r="C203" t="inlineStr">
        <is>
          <t>PZ-A</t>
        </is>
      </c>
      <c r="D203" t="n">
        <v>10</v>
      </c>
      <c r="E203" t="inlineStr">
        <is>
          <t>H0153</t>
        </is>
      </c>
      <c r="F203" t="inlineStr">
        <is>
          <t>桃園市大園區中正東路一段189巷129號</t>
        </is>
      </c>
      <c r="G203" t="n">
        <v>25.047966</v>
      </c>
      <c r="H203" t="n">
        <v>121.227339</v>
      </c>
      <c r="I203" t="n">
        <v>8</v>
      </c>
      <c r="J203" t="n">
        <v>2</v>
      </c>
      <c r="K203" t="n">
        <v>117.5</v>
      </c>
      <c r="L203" t="inlineStr">
        <is>
          <t>Primary</t>
        </is>
      </c>
    </row>
    <row r="204">
      <c r="A204" t="n">
        <v>3</v>
      </c>
      <c r="B204" s="22" t="inlineStr">
        <is>
          <t>S02</t>
        </is>
      </c>
      <c r="C204" t="inlineStr">
        <is>
          <t>PZ-A</t>
        </is>
      </c>
      <c r="D204" t="n">
        <v>11</v>
      </c>
      <c r="E204" t="inlineStr">
        <is>
          <t>H0163</t>
        </is>
      </c>
      <c r="F204" t="inlineStr">
        <is>
          <t>桃園市大園區中正東路一段189巷-航空城-橫埔段30.49地號</t>
        </is>
      </c>
      <c r="G204" t="n">
        <v>25.049136</v>
      </c>
      <c r="H204" t="n">
        <v>121.228403</v>
      </c>
      <c r="I204" t="n">
        <v>8</v>
      </c>
      <c r="J204" t="n">
        <v>3</v>
      </c>
      <c r="K204" t="n">
        <v>128.5</v>
      </c>
      <c r="L204" t="inlineStr">
        <is>
          <t>Primary</t>
        </is>
      </c>
    </row>
    <row r="205">
      <c r="A205" t="n">
        <v>3</v>
      </c>
      <c r="B205" s="22" t="inlineStr">
        <is>
          <t>S02</t>
        </is>
      </c>
      <c r="C205" t="inlineStr">
        <is>
          <t>PZ-A</t>
        </is>
      </c>
      <c r="D205" t="n">
        <v>12</v>
      </c>
      <c r="E205" t="inlineStr">
        <is>
          <t>H0233</t>
        </is>
      </c>
      <c r="F205" t="inlineStr">
        <is>
          <t>桃園市大園區桃航三路-航空城</t>
        </is>
      </c>
      <c r="G205" t="n">
        <v>25.04928</v>
      </c>
      <c r="H205" t="n">
        <v>121.230606</v>
      </c>
      <c r="I205" t="n">
        <v>8</v>
      </c>
      <c r="J205" t="n">
        <v>3</v>
      </c>
      <c r="K205" t="n">
        <v>139.5</v>
      </c>
      <c r="L205" t="inlineStr">
        <is>
          <t>Primary</t>
        </is>
      </c>
    </row>
    <row r="206">
      <c r="A206" t="n">
        <v>3</v>
      </c>
      <c r="B206" s="22" t="inlineStr">
        <is>
          <t>S02</t>
        </is>
      </c>
      <c r="C206" t="inlineStr">
        <is>
          <t>PZ-A</t>
        </is>
      </c>
      <c r="D206" t="n">
        <v>13</v>
      </c>
      <c r="E206" t="inlineStr">
        <is>
          <t>H0115</t>
        </is>
      </c>
      <c r="F206" t="inlineStr">
        <is>
          <t>桃園市大園區大海村大牛稠一鄰12-6號附近-附座標</t>
        </is>
      </c>
      <c r="G206" t="n">
        <v>25.056475</v>
      </c>
      <c r="H206" t="n">
        <v>121.228881</v>
      </c>
      <c r="I206" t="n">
        <v>8</v>
      </c>
      <c r="J206" t="n">
        <v>3</v>
      </c>
      <c r="K206" t="n">
        <v>150.5</v>
      </c>
      <c r="L206" t="inlineStr">
        <is>
          <t>Primary</t>
        </is>
      </c>
    </row>
    <row r="207">
      <c r="A207" t="n">
        <v>3</v>
      </c>
      <c r="B207" s="22" t="inlineStr">
        <is>
          <t>S02</t>
        </is>
      </c>
      <c r="C207" t="inlineStr">
        <is>
          <t>PZ-A</t>
        </is>
      </c>
      <c r="D207" t="n">
        <v>14</v>
      </c>
      <c r="E207" t="inlineStr">
        <is>
          <t>H0237</t>
        </is>
      </c>
      <c r="F207" t="inlineStr">
        <is>
          <t>桃園市大園區海豐坡15鄰6-3號(第三航廈機場咖啡對面工地</t>
        </is>
      </c>
      <c r="G207" t="n">
        <v>25.057867</v>
      </c>
      <c r="H207" t="n">
        <v>121.216586</v>
      </c>
      <c r="I207" t="n">
        <v>8</v>
      </c>
      <c r="J207" t="n">
        <v>3</v>
      </c>
      <c r="K207" t="n">
        <v>161.5</v>
      </c>
      <c r="L207" t="inlineStr">
        <is>
          <t>Primary</t>
        </is>
      </c>
    </row>
    <row r="208">
      <c r="A208" t="n">
        <v>3</v>
      </c>
      <c r="B208" s="22" t="inlineStr">
        <is>
          <t>S02</t>
        </is>
      </c>
      <c r="C208" t="inlineStr">
        <is>
          <t>PZ-A</t>
        </is>
      </c>
      <c r="D208" t="n">
        <v>15</v>
      </c>
      <c r="E208" t="inlineStr">
        <is>
          <t>H0264</t>
        </is>
      </c>
      <c r="F208" t="inlineStr">
        <is>
          <t>桃園市大園區橫湳一路50號(A15捷運站附近)-追加</t>
        </is>
      </c>
      <c r="G208" t="n">
        <v>25.055564</v>
      </c>
      <c r="H208" t="n">
        <v>121.210669</v>
      </c>
      <c r="I208" t="n">
        <v>8</v>
      </c>
      <c r="J208" t="n">
        <v>3</v>
      </c>
      <c r="K208" t="n">
        <v>172.5</v>
      </c>
      <c r="L208" t="inlineStr">
        <is>
          <t>Primary</t>
        </is>
      </c>
    </row>
    <row r="209">
      <c r="A209" t="n">
        <v>3</v>
      </c>
      <c r="B209" s="22" t="inlineStr">
        <is>
          <t>S02</t>
        </is>
      </c>
      <c r="C209" t="inlineStr">
        <is>
          <t>PZ-A</t>
        </is>
      </c>
      <c r="D209" t="n">
        <v>16</v>
      </c>
      <c r="E209" t="inlineStr">
        <is>
          <t>H0185</t>
        </is>
      </c>
      <c r="F209" t="inlineStr">
        <is>
          <t>桃園市大園區平安路10號對面</t>
        </is>
      </c>
      <c r="G209" t="n">
        <v>25.060033</v>
      </c>
      <c r="H209" t="n">
        <v>121.209361</v>
      </c>
      <c r="I209" t="n">
        <v>8</v>
      </c>
      <c r="J209" t="n">
        <v>3</v>
      </c>
      <c r="K209" t="n">
        <v>183.5</v>
      </c>
      <c r="L209" t="inlineStr">
        <is>
          <t>Primary</t>
        </is>
      </c>
    </row>
    <row r="210">
      <c r="A210" t="n">
        <v>3</v>
      </c>
      <c r="B210" s="22" t="inlineStr">
        <is>
          <t>S02</t>
        </is>
      </c>
      <c r="C210" t="inlineStr">
        <is>
          <t>PZ-A</t>
        </is>
      </c>
      <c r="D210" t="n">
        <v>17</v>
      </c>
      <c r="E210" t="inlineStr">
        <is>
          <t>H0186</t>
        </is>
      </c>
      <c r="F210" t="inlineStr">
        <is>
          <t>桃園市大園區平安路157號旁停車場</t>
        </is>
      </c>
      <c r="G210" t="n">
        <v>25.063667</v>
      </c>
      <c r="H210" t="n">
        <v>121.206817</v>
      </c>
      <c r="I210" t="n">
        <v>8</v>
      </c>
      <c r="J210" t="n">
        <v>3</v>
      </c>
      <c r="K210" t="n">
        <v>194.5</v>
      </c>
      <c r="L210" t="inlineStr">
        <is>
          <t>Primary</t>
        </is>
      </c>
    </row>
    <row r="211">
      <c r="A211" t="n">
        <v>3</v>
      </c>
      <c r="B211" s="22" t="inlineStr">
        <is>
          <t>S02</t>
        </is>
      </c>
      <c r="C211" t="inlineStr">
        <is>
          <t>PZ-A</t>
        </is>
      </c>
      <c r="D211" t="n">
        <v>18</v>
      </c>
      <c r="E211" t="inlineStr">
        <is>
          <t>H0229</t>
        </is>
      </c>
      <c r="F211" t="inlineStr">
        <is>
          <t>桃園市大園區埔心里-附座標R3(14-1)</t>
        </is>
      </c>
      <c r="G211" t="n">
        <v>25.066153</v>
      </c>
      <c r="H211" t="n">
        <v>121.214008</v>
      </c>
      <c r="I211" t="n">
        <v>8</v>
      </c>
      <c r="J211" t="n">
        <v>3</v>
      </c>
      <c r="K211" t="n">
        <v>205.5</v>
      </c>
      <c r="L211" t="inlineStr">
        <is>
          <t>Primary</t>
        </is>
      </c>
    </row>
    <row r="212">
      <c r="A212" t="n">
        <v>3</v>
      </c>
      <c r="B212" s="22" t="inlineStr">
        <is>
          <t>S02</t>
        </is>
      </c>
      <c r="C212" t="inlineStr">
        <is>
          <t>PZ-A</t>
        </is>
      </c>
      <c r="D212" t="n">
        <v>19</v>
      </c>
      <c r="E212" t="inlineStr">
        <is>
          <t>H0242</t>
        </is>
      </c>
      <c r="F212" t="inlineStr">
        <is>
          <t>桃園市大園區航站北路608號(長榮航勤)北一崗前面右側</t>
        </is>
      </c>
      <c r="G212" t="n">
        <v>25.06801099999999</v>
      </c>
      <c r="H212" t="n">
        <v>121.217092</v>
      </c>
      <c r="I212" t="n">
        <v>56</v>
      </c>
      <c r="J212" t="n">
        <v>3</v>
      </c>
      <c r="K212" t="n">
        <v>264.5</v>
      </c>
      <c r="L212" t="inlineStr">
        <is>
          <t>Primary</t>
        </is>
      </c>
    </row>
    <row r="213">
      <c r="A213" t="n">
        <v>3</v>
      </c>
      <c r="B213" s="22" t="inlineStr">
        <is>
          <t>S02</t>
        </is>
      </c>
      <c r="C213" t="inlineStr">
        <is>
          <t>PZ-A</t>
        </is>
      </c>
      <c r="D213" t="n">
        <v>20</v>
      </c>
      <c r="E213" t="inlineStr">
        <is>
          <t>H0250</t>
        </is>
      </c>
      <c r="F213" t="inlineStr">
        <is>
          <t>桃園市大園區第三航廈外(大園區航站北路608號)</t>
        </is>
      </c>
      <c r="G213" t="n">
        <v>25.0674894</v>
      </c>
      <c r="H213" t="n">
        <v>121.2178473</v>
      </c>
      <c r="I213" t="n">
        <v>96</v>
      </c>
      <c r="J213" t="n">
        <v>2</v>
      </c>
      <c r="K213" t="n">
        <v>362.5</v>
      </c>
      <c r="L213" t="inlineStr">
        <is>
          <t>Primary</t>
        </is>
      </c>
    </row>
    <row r="214">
      <c r="A214" t="n">
        <v>3</v>
      </c>
      <c r="B214" s="22" t="inlineStr">
        <is>
          <t>S02</t>
        </is>
      </c>
      <c r="C214" t="inlineStr">
        <is>
          <t>PZ-A</t>
        </is>
      </c>
      <c r="D214" t="n">
        <v>21</v>
      </c>
      <c r="E214" t="inlineStr">
        <is>
          <t>H0234</t>
        </is>
      </c>
      <c r="F214" t="inlineStr">
        <is>
          <t>桃園市大園區-桃園機場第三航廈外(帶定位)</t>
        </is>
      </c>
      <c r="G214" t="n">
        <v>25.070481</v>
      </c>
      <c r="H214" t="n">
        <v>121.219659</v>
      </c>
      <c r="I214" t="n">
        <v>16</v>
      </c>
      <c r="J214" t="n">
        <v>3</v>
      </c>
      <c r="K214" t="n">
        <v>381.5</v>
      </c>
      <c r="L214" t="inlineStr">
        <is>
          <t>Primary</t>
        </is>
      </c>
    </row>
    <row r="215">
      <c r="A215" t="n">
        <v>3</v>
      </c>
      <c r="B215" s="22" t="inlineStr">
        <is>
          <t>S02</t>
        </is>
      </c>
      <c r="C215" t="inlineStr">
        <is>
          <t>PZ-A</t>
        </is>
      </c>
      <c r="D215" t="n">
        <v>22</v>
      </c>
      <c r="E215" t="inlineStr">
        <is>
          <t>H0173</t>
        </is>
      </c>
      <c r="F215" t="inlineStr">
        <is>
          <t>桃園市大園區中華路332號-附座標R3(13-1)</t>
        </is>
      </c>
      <c r="G215" t="n">
        <v>25.07205</v>
      </c>
      <c r="H215" t="n">
        <v>121.206661</v>
      </c>
      <c r="I215" t="n">
        <v>8</v>
      </c>
      <c r="J215" t="n">
        <v>3.2</v>
      </c>
      <c r="K215" t="n">
        <v>392.7</v>
      </c>
      <c r="L215" t="inlineStr">
        <is>
          <t>Primary</t>
        </is>
      </c>
    </row>
    <row r="216">
      <c r="A216" t="n">
        <v>3</v>
      </c>
      <c r="B216" s="22" t="inlineStr">
        <is>
          <t>S02</t>
        </is>
      </c>
      <c r="C216" t="inlineStr">
        <is>
          <t>PZ-A</t>
        </is>
      </c>
      <c r="D216" t="n">
        <v>23</v>
      </c>
      <c r="E216" t="inlineStr">
        <is>
          <t>H0174</t>
        </is>
      </c>
      <c r="F216" t="inlineStr">
        <is>
          <t>桃園市大園區中華路353號-R3(6-1)</t>
        </is>
      </c>
      <c r="G216" t="n">
        <v>25.072531</v>
      </c>
      <c r="H216" t="n">
        <v>121.206506</v>
      </c>
      <c r="I216" t="n">
        <v>16</v>
      </c>
      <c r="J216" t="n">
        <v>2</v>
      </c>
      <c r="K216" t="n">
        <v>410.7</v>
      </c>
      <c r="L216" t="inlineStr">
        <is>
          <t>Primary</t>
        </is>
      </c>
    </row>
    <row r="217">
      <c r="A217" t="n">
        <v>3</v>
      </c>
      <c r="B217" s="22" t="inlineStr">
        <is>
          <t>S02</t>
        </is>
      </c>
      <c r="C217" t="inlineStr">
        <is>
          <t>PZ-A</t>
        </is>
      </c>
      <c r="D217" t="n">
        <v>24</v>
      </c>
      <c r="E217" t="inlineStr">
        <is>
          <t>H0146</t>
        </is>
      </c>
      <c r="F217" t="inlineStr">
        <is>
          <t>桃園市大園區中央路211號-附座標R3(11-1)</t>
        </is>
      </c>
      <c r="G217" t="n">
        <v>25.074914</v>
      </c>
      <c r="H217" t="n">
        <v>121.204736</v>
      </c>
      <c r="I217" t="n">
        <v>16</v>
      </c>
      <c r="J217" t="n">
        <v>3</v>
      </c>
      <c r="K217" t="n">
        <v>429.7</v>
      </c>
      <c r="L217" t="inlineStr">
        <is>
          <t>Primary</t>
        </is>
      </c>
    </row>
    <row r="218">
      <c r="A218" t="n">
        <v>3</v>
      </c>
      <c r="B218" s="22" t="inlineStr">
        <is>
          <t>S02</t>
        </is>
      </c>
      <c r="C218" t="inlineStr">
        <is>
          <t>PZ-A</t>
        </is>
      </c>
      <c r="D218" t="n">
        <v>25</v>
      </c>
      <c r="E218" t="inlineStr">
        <is>
          <t>H0223</t>
        </is>
      </c>
      <c r="F218" t="inlineStr">
        <is>
          <t>桃園市大園區後館路25號旁工地</t>
        </is>
      </c>
      <c r="G218" t="n">
        <v>25.07842966666666</v>
      </c>
      <c r="H218" t="n">
        <v>121.194995</v>
      </c>
      <c r="I218" t="n">
        <v>24</v>
      </c>
      <c r="J218" t="n">
        <v>3</v>
      </c>
      <c r="K218" t="n">
        <v>456.7</v>
      </c>
      <c r="L218" t="inlineStr">
        <is>
          <t>Primary</t>
        </is>
      </c>
    </row>
    <row r="219">
      <c r="A219" t="n">
        <v>3</v>
      </c>
      <c r="B219" s="22" t="inlineStr">
        <is>
          <t>S02</t>
        </is>
      </c>
      <c r="C219" t="inlineStr">
        <is>
          <t>PZ-A</t>
        </is>
      </c>
      <c r="D219" t="n">
        <v>26</v>
      </c>
      <c r="E219" t="inlineStr">
        <is>
          <t>H0135</t>
        </is>
      </c>
      <c r="F219" t="inlineStr">
        <is>
          <t>桃園市大園區中山北路268巷8號</t>
        </is>
      </c>
      <c r="G219" t="n">
        <v>25.077298</v>
      </c>
      <c r="H219" t="n">
        <v>121.187361</v>
      </c>
      <c r="I219" t="n">
        <v>16</v>
      </c>
      <c r="J219" t="n">
        <v>3</v>
      </c>
      <c r="K219" t="n">
        <v>475.7</v>
      </c>
      <c r="L219" t="inlineStr">
        <is>
          <t>Primary</t>
        </is>
      </c>
    </row>
    <row r="220">
      <c r="A220" t="n">
        <v>3</v>
      </c>
      <c r="B220" s="22" t="inlineStr">
        <is>
          <t>S02</t>
        </is>
      </c>
      <c r="C220" t="inlineStr">
        <is>
          <t>PZ-A</t>
        </is>
      </c>
      <c r="D220" t="n">
        <v>27</v>
      </c>
      <c r="E220" t="inlineStr">
        <is>
          <t>H0090</t>
        </is>
      </c>
      <c r="F220" t="inlineStr">
        <is>
          <t>桃園市大園區大工路136號</t>
        </is>
      </c>
      <c r="G220" t="n">
        <v>25.077195</v>
      </c>
      <c r="H220" t="n">
        <v>121.175595</v>
      </c>
      <c r="I220" t="n">
        <v>16</v>
      </c>
      <c r="J220" t="n">
        <v>3</v>
      </c>
      <c r="K220" t="n">
        <v>494.7</v>
      </c>
      <c r="L220" t="inlineStr">
        <is>
          <t>Primary</t>
        </is>
      </c>
    </row>
    <row r="221">
      <c r="A221" t="n">
        <v>3</v>
      </c>
      <c r="B221" s="22" t="inlineStr">
        <is>
          <t>S02</t>
        </is>
      </c>
      <c r="C221" t="inlineStr">
        <is>
          <t>PZ-A</t>
        </is>
      </c>
      <c r="D221" t="n">
        <v>28</v>
      </c>
      <c r="E221" t="inlineStr">
        <is>
          <t>H0134</t>
        </is>
      </c>
      <c r="F221" t="inlineStr">
        <is>
          <t>桃園市大園區工五路6號</t>
        </is>
      </c>
      <c r="G221" t="n">
        <v>25.07197</v>
      </c>
      <c r="H221" t="n">
        <v>121.1748</v>
      </c>
      <c r="I221" t="n">
        <v>8</v>
      </c>
      <c r="J221" t="n">
        <v>3</v>
      </c>
      <c r="K221" t="n">
        <v>505.7</v>
      </c>
      <c r="L221" t="inlineStr">
        <is>
          <t>Primary</t>
        </is>
      </c>
    </row>
    <row r="222">
      <c r="A222" t="n">
        <v>3</v>
      </c>
      <c r="B222" s="22" t="inlineStr">
        <is>
          <t>S02</t>
        </is>
      </c>
      <c r="C222" t="inlineStr">
        <is>
          <t>PZ-A</t>
        </is>
      </c>
      <c r="D222" t="n">
        <v>29</v>
      </c>
      <c r="E222" t="inlineStr">
        <is>
          <t>H0258</t>
        </is>
      </c>
      <c r="F222" t="inlineStr">
        <is>
          <t>桃園市大園區潮音北路646號旁</t>
        </is>
      </c>
      <c r="G222" t="n">
        <v>25.081886</v>
      </c>
      <c r="H222" t="n">
        <v>121.16902</v>
      </c>
      <c r="I222" t="n">
        <v>8</v>
      </c>
      <c r="J222" t="n">
        <v>3</v>
      </c>
      <c r="K222" t="n">
        <v>516.7</v>
      </c>
      <c r="L222" t="inlineStr">
        <is>
          <t>Primary</t>
        </is>
      </c>
    </row>
    <row r="223">
      <c r="A223" t="n">
        <v>4</v>
      </c>
      <c r="B223" s="22" t="inlineStr">
        <is>
          <t>S02</t>
        </is>
      </c>
      <c r="C223" t="inlineStr">
        <is>
          <t>PZ-A</t>
        </is>
      </c>
      <c r="D223" t="n">
        <v>1</v>
      </c>
      <c r="E223" t="inlineStr">
        <is>
          <t>H1096</t>
        </is>
      </c>
      <c r="F223" t="inlineStr">
        <is>
          <t>桃園市觀音區廣大路839號</t>
        </is>
      </c>
      <c r="G223" t="n">
        <v>25.038783</v>
      </c>
      <c r="H223" t="n">
        <v>121.159768</v>
      </c>
      <c r="I223" t="n">
        <v>16</v>
      </c>
      <c r="J223" t="n">
        <v>16.2</v>
      </c>
      <c r="K223" t="n">
        <v>32.2</v>
      </c>
      <c r="L223" t="inlineStr">
        <is>
          <t>Primary</t>
        </is>
      </c>
    </row>
    <row r="224">
      <c r="A224" t="n">
        <v>4</v>
      </c>
      <c r="B224" s="22" t="inlineStr">
        <is>
          <t>S02</t>
        </is>
      </c>
      <c r="C224" t="inlineStr">
        <is>
          <t>PZ-A</t>
        </is>
      </c>
      <c r="D224" t="n">
        <v>2</v>
      </c>
      <c r="E224" t="inlineStr">
        <is>
          <t>H0275</t>
        </is>
      </c>
      <c r="F224" t="inlineStr">
        <is>
          <t>桃園市大園區環區西路593號旁</t>
        </is>
      </c>
      <c r="G224" t="n">
        <v>25.046169</v>
      </c>
      <c r="H224" t="n">
        <v>121.164639</v>
      </c>
      <c r="I224" t="n">
        <v>8</v>
      </c>
      <c r="J224" t="n">
        <v>3</v>
      </c>
      <c r="K224" t="n">
        <v>43.2</v>
      </c>
      <c r="L224" t="inlineStr">
        <is>
          <t>Primary</t>
        </is>
      </c>
    </row>
    <row r="225">
      <c r="A225" t="n">
        <v>4</v>
      </c>
      <c r="B225" s="22" t="inlineStr">
        <is>
          <t>S02</t>
        </is>
      </c>
      <c r="C225" t="inlineStr">
        <is>
          <t>PZ-A</t>
        </is>
      </c>
      <c r="D225" t="n">
        <v>3</v>
      </c>
      <c r="E225" t="inlineStr">
        <is>
          <t>H0273</t>
        </is>
      </c>
      <c r="F225" t="inlineStr">
        <is>
          <t>桃園市大園區環區西路318號附近-航科國小</t>
        </is>
      </c>
      <c r="G225" t="n">
        <v>25.051656</v>
      </c>
      <c r="H225" t="n">
        <v>121.167045</v>
      </c>
      <c r="I225" t="n">
        <v>8</v>
      </c>
      <c r="J225" t="n">
        <v>3</v>
      </c>
      <c r="K225" t="n">
        <v>54.2</v>
      </c>
      <c r="L225" t="inlineStr">
        <is>
          <t>Primary</t>
        </is>
      </c>
    </row>
    <row r="226">
      <c r="A226" t="n">
        <v>4</v>
      </c>
      <c r="B226" s="22" t="inlineStr">
        <is>
          <t>S02</t>
        </is>
      </c>
      <c r="C226" t="inlineStr">
        <is>
          <t>PZ-A</t>
        </is>
      </c>
      <c r="D226" t="n">
        <v>4</v>
      </c>
      <c r="E226" t="inlineStr">
        <is>
          <t>H0253</t>
        </is>
      </c>
      <c r="F226" t="inlineStr">
        <is>
          <t>桃園市大園區園科路-璟都未來城接待中心旁</t>
        </is>
      </c>
      <c r="G226" t="n">
        <v>25.058894</v>
      </c>
      <c r="H226" t="n">
        <v>121.171023</v>
      </c>
      <c r="I226" t="n">
        <v>16</v>
      </c>
      <c r="J226" t="n">
        <v>3</v>
      </c>
      <c r="K226" t="n">
        <v>73.2</v>
      </c>
      <c r="L226" t="inlineStr">
        <is>
          <t>Primary</t>
        </is>
      </c>
    </row>
    <row r="227">
      <c r="A227" t="n">
        <v>4</v>
      </c>
      <c r="B227" s="22" t="inlineStr">
        <is>
          <t>S02</t>
        </is>
      </c>
      <c r="C227" t="inlineStr">
        <is>
          <t>PZ-A</t>
        </is>
      </c>
      <c r="D227" t="n">
        <v>5</v>
      </c>
      <c r="E227" t="inlineStr">
        <is>
          <t>H1034</t>
        </is>
      </c>
      <c r="F227" t="inlineStr">
        <is>
          <t>桃園市觀音區忠孝路107-3號-草漯萬應宮</t>
        </is>
      </c>
      <c r="G227" t="n">
        <v>25.052622</v>
      </c>
      <c r="H227" t="n">
        <v>121.142705</v>
      </c>
      <c r="I227" t="n">
        <v>8</v>
      </c>
      <c r="J227" t="n">
        <v>7</v>
      </c>
      <c r="K227" t="n">
        <v>88.2</v>
      </c>
      <c r="L227" t="inlineStr">
        <is>
          <t>Primary</t>
        </is>
      </c>
    </row>
    <row r="228">
      <c r="A228" t="n">
        <v>4</v>
      </c>
      <c r="B228" s="22" t="inlineStr">
        <is>
          <t>S02</t>
        </is>
      </c>
      <c r="C228" t="inlineStr">
        <is>
          <t>PZ-A</t>
        </is>
      </c>
      <c r="D228" t="n">
        <v>6</v>
      </c>
      <c r="E228" t="inlineStr">
        <is>
          <t>H1025</t>
        </is>
      </c>
      <c r="F228" t="inlineStr">
        <is>
          <t>桃園市觀音區成功路一段&amp;保障路-電聯帶定位</t>
        </is>
      </c>
      <c r="G228" t="n">
        <v>25.054228</v>
      </c>
      <c r="H228" t="n">
        <v>121.141036</v>
      </c>
      <c r="I228" t="n">
        <v>8</v>
      </c>
      <c r="J228" t="n">
        <v>3</v>
      </c>
      <c r="K228" t="n">
        <v>99.2</v>
      </c>
      <c r="L228" t="inlineStr">
        <is>
          <t>Primary</t>
        </is>
      </c>
    </row>
    <row r="229">
      <c r="A229" t="n">
        <v>4</v>
      </c>
      <c r="B229" s="22" t="inlineStr">
        <is>
          <t>S02</t>
        </is>
      </c>
      <c r="C229" t="inlineStr">
        <is>
          <t>PZ-A</t>
        </is>
      </c>
      <c r="D229" t="n">
        <v>7</v>
      </c>
      <c r="E229" t="inlineStr">
        <is>
          <t>H1070</t>
        </is>
      </c>
      <c r="F229" t="inlineStr">
        <is>
          <t>桃園市觀音區富貴三街中間工地</t>
        </is>
      </c>
      <c r="G229" t="n">
        <v>25.051786</v>
      </c>
      <c r="H229" t="n">
        <v>121.139061</v>
      </c>
      <c r="I229" t="n">
        <v>8</v>
      </c>
      <c r="J229" t="n">
        <v>3</v>
      </c>
      <c r="K229" t="n">
        <v>110.2</v>
      </c>
      <c r="L229" t="inlineStr">
        <is>
          <t>Primary</t>
        </is>
      </c>
    </row>
    <row r="230">
      <c r="A230" t="n">
        <v>4</v>
      </c>
      <c r="B230" s="22" t="inlineStr">
        <is>
          <t>S02</t>
        </is>
      </c>
      <c r="C230" t="inlineStr">
        <is>
          <t>PZ-A</t>
        </is>
      </c>
      <c r="D230" t="n">
        <v>8</v>
      </c>
      <c r="E230" t="inlineStr">
        <is>
          <t>H1068</t>
        </is>
      </c>
      <c r="F230" t="inlineStr">
        <is>
          <t>桃園市觀音區富貴一街與富貴二街交叉口-電聯定位</t>
        </is>
      </c>
      <c r="G230" t="n">
        <v>25.052944</v>
      </c>
      <c r="H230" t="n">
        <v>121.137172</v>
      </c>
      <c r="I230" t="n">
        <v>8</v>
      </c>
      <c r="J230" t="n">
        <v>3</v>
      </c>
      <c r="K230" t="n">
        <v>121.2</v>
      </c>
      <c r="L230" t="inlineStr">
        <is>
          <t>Primary</t>
        </is>
      </c>
    </row>
    <row r="231">
      <c r="A231" t="n">
        <v>4</v>
      </c>
      <c r="B231" s="22" t="inlineStr">
        <is>
          <t>S02</t>
        </is>
      </c>
      <c r="C231" t="inlineStr">
        <is>
          <t>PZ-A</t>
        </is>
      </c>
      <c r="D231" t="n">
        <v>9</v>
      </c>
      <c r="E231" t="inlineStr">
        <is>
          <t>H1069</t>
        </is>
      </c>
      <c r="F231" t="inlineStr">
        <is>
          <t>桃園市觀音區富貴二街25巷</t>
        </is>
      </c>
      <c r="G231" t="n">
        <v>25.053711</v>
      </c>
      <c r="H231" t="n">
        <v>121.137194</v>
      </c>
      <c r="I231" t="n">
        <v>8</v>
      </c>
      <c r="J231" t="n">
        <v>2</v>
      </c>
      <c r="K231" t="n">
        <v>131.2</v>
      </c>
      <c r="L231" t="inlineStr">
        <is>
          <t>Primary</t>
        </is>
      </c>
    </row>
    <row r="232">
      <c r="A232" t="n">
        <v>4</v>
      </c>
      <c r="B232" s="22" t="inlineStr">
        <is>
          <t>S02</t>
        </is>
      </c>
      <c r="C232" t="inlineStr">
        <is>
          <t>PZ-A</t>
        </is>
      </c>
      <c r="D232" t="n">
        <v>10</v>
      </c>
      <c r="E232" t="inlineStr">
        <is>
          <t>H1037</t>
        </is>
      </c>
      <c r="F232" t="inlineStr">
        <is>
          <t>桃園市觀音區忠孝路546號</t>
        </is>
      </c>
      <c r="G232" t="n">
        <v>25.058514</v>
      </c>
      <c r="H232" t="n">
        <v>121.136464</v>
      </c>
      <c r="I232" t="n">
        <v>8</v>
      </c>
      <c r="J232" t="n">
        <v>3</v>
      </c>
      <c r="K232" t="n">
        <v>142.2</v>
      </c>
      <c r="L232" t="inlineStr">
        <is>
          <t>Primary</t>
        </is>
      </c>
    </row>
    <row r="233">
      <c r="A233" t="n">
        <v>4</v>
      </c>
      <c r="B233" s="22" t="inlineStr">
        <is>
          <t>S02</t>
        </is>
      </c>
      <c r="C233" t="inlineStr">
        <is>
          <t>PZ-A</t>
        </is>
      </c>
      <c r="D233" t="n">
        <v>11</v>
      </c>
      <c r="E233" t="inlineStr">
        <is>
          <t>H1088</t>
        </is>
      </c>
      <c r="F233" t="inlineStr">
        <is>
          <t>桃園市觀音區榮工北路10號-錦美紙業</t>
        </is>
      </c>
      <c r="G233" t="n">
        <v>25.0588495</v>
      </c>
      <c r="H233" t="n">
        <v>121.1289161</v>
      </c>
      <c r="I233" t="n">
        <v>32</v>
      </c>
      <c r="J233" t="n">
        <v>3</v>
      </c>
      <c r="K233" t="n">
        <v>177.2</v>
      </c>
      <c r="L233" t="inlineStr">
        <is>
          <t>Primary</t>
        </is>
      </c>
    </row>
    <row r="234">
      <c r="A234" t="n">
        <v>4</v>
      </c>
      <c r="B234" s="22" t="inlineStr">
        <is>
          <t>S02</t>
        </is>
      </c>
      <c r="C234" t="inlineStr">
        <is>
          <t>PZ-A</t>
        </is>
      </c>
      <c r="D234" t="n">
        <v>12</v>
      </c>
      <c r="E234" t="inlineStr">
        <is>
          <t>H1088</t>
        </is>
      </c>
      <c r="F234" t="inlineStr">
        <is>
          <t>桃園市觀音區榮工北路10號-錦美紙業</t>
        </is>
      </c>
      <c r="G234" t="n">
        <v>25.058208</v>
      </c>
      <c r="H234" t="n">
        <v>121.127823</v>
      </c>
      <c r="I234" t="n">
        <v>32</v>
      </c>
      <c r="J234" t="n">
        <v>3</v>
      </c>
      <c r="K234" t="n">
        <v>212.2</v>
      </c>
      <c r="L234" t="inlineStr">
        <is>
          <t>Primary</t>
        </is>
      </c>
    </row>
    <row r="235">
      <c r="A235" t="n">
        <v>4</v>
      </c>
      <c r="B235" s="22" t="inlineStr">
        <is>
          <t>S02</t>
        </is>
      </c>
      <c r="C235" t="inlineStr">
        <is>
          <t>PZ-A</t>
        </is>
      </c>
      <c r="D235" t="n">
        <v>13</v>
      </c>
      <c r="E235" t="inlineStr">
        <is>
          <t>H1073</t>
        </is>
      </c>
      <c r="F235" t="inlineStr">
        <is>
          <t>桃園市觀音區新村路２段24號</t>
        </is>
      </c>
      <c r="G235" t="n">
        <v>25.061642</v>
      </c>
      <c r="H235" t="n">
        <v>121.127136</v>
      </c>
      <c r="I235" t="n">
        <v>8</v>
      </c>
      <c r="J235" t="n">
        <v>3</v>
      </c>
      <c r="K235" t="n">
        <v>223.2</v>
      </c>
      <c r="L235" t="inlineStr">
        <is>
          <t>Primary</t>
        </is>
      </c>
    </row>
    <row r="236">
      <c r="A236" t="n">
        <v>4</v>
      </c>
      <c r="B236" s="22" t="inlineStr">
        <is>
          <t>S02</t>
        </is>
      </c>
      <c r="C236" t="inlineStr">
        <is>
          <t>PZ-A</t>
        </is>
      </c>
      <c r="D236" t="n">
        <v>14</v>
      </c>
      <c r="E236" t="inlineStr">
        <is>
          <t>H1078</t>
        </is>
      </c>
      <c r="F236" t="inlineStr">
        <is>
          <t>桃園市觀音區經建三路27號</t>
        </is>
      </c>
      <c r="G236" t="n">
        <v>25.060689</v>
      </c>
      <c r="H236" t="n">
        <v>121.12455</v>
      </c>
      <c r="I236" t="n">
        <v>8</v>
      </c>
      <c r="J236" t="n">
        <v>3</v>
      </c>
      <c r="K236" t="n">
        <v>234.2</v>
      </c>
      <c r="L236" t="inlineStr">
        <is>
          <t>Primary</t>
        </is>
      </c>
    </row>
    <row r="237">
      <c r="A237" t="n">
        <v>4</v>
      </c>
      <c r="B237" s="22" t="inlineStr">
        <is>
          <t>S02</t>
        </is>
      </c>
      <c r="C237" t="inlineStr">
        <is>
          <t>PZ-A</t>
        </is>
      </c>
      <c r="D237" t="n">
        <v>15</v>
      </c>
      <c r="E237" t="inlineStr">
        <is>
          <t>H1003</t>
        </is>
      </c>
      <c r="F237" t="inlineStr">
        <is>
          <t>桃園市觀音區工業三路11號、侑晉科技</t>
        </is>
      </c>
      <c r="G237" t="n">
        <v>25.060461</v>
      </c>
      <c r="H237" t="n">
        <v>121.123823</v>
      </c>
      <c r="I237" t="n">
        <v>8</v>
      </c>
      <c r="J237" t="n">
        <v>2</v>
      </c>
      <c r="K237" t="n">
        <v>244.2</v>
      </c>
      <c r="L237" t="inlineStr">
        <is>
          <t>Primary</t>
        </is>
      </c>
    </row>
    <row r="238">
      <c r="A238" t="n">
        <v>4</v>
      </c>
      <c r="B238" s="22" t="inlineStr">
        <is>
          <t>S02</t>
        </is>
      </c>
      <c r="C238" t="inlineStr">
        <is>
          <t>PZ-A</t>
        </is>
      </c>
      <c r="D238" t="n">
        <v>16</v>
      </c>
      <c r="E238" t="inlineStr">
        <is>
          <t>H1079</t>
        </is>
      </c>
      <c r="F238" t="inlineStr">
        <is>
          <t>桃園市觀音區經建三路32號</t>
        </is>
      </c>
      <c r="G238" t="n">
        <v>25.05923288888889</v>
      </c>
      <c r="H238" t="n">
        <v>121.1222184444445</v>
      </c>
      <c r="I238" t="n">
        <v>72</v>
      </c>
      <c r="J238" t="n">
        <v>3</v>
      </c>
      <c r="K238" t="n">
        <v>319.2</v>
      </c>
      <c r="L238" t="inlineStr">
        <is>
          <t>Primary</t>
        </is>
      </c>
    </row>
    <row r="239">
      <c r="A239" t="n">
        <v>4</v>
      </c>
      <c r="B239" s="22" t="inlineStr">
        <is>
          <t>S02</t>
        </is>
      </c>
      <c r="C239" t="inlineStr">
        <is>
          <t>PZ-A</t>
        </is>
      </c>
      <c r="D239" t="n">
        <v>17</v>
      </c>
      <c r="E239" t="inlineStr">
        <is>
          <t>H1079</t>
        </is>
      </c>
      <c r="F239" t="inlineStr">
        <is>
          <t>桃園市觀音區經建三路32號</t>
        </is>
      </c>
      <c r="G239" t="n">
        <v>25.0587248</v>
      </c>
      <c r="H239" t="n">
        <v>121.1211414</v>
      </c>
      <c r="I239" t="n">
        <v>64</v>
      </c>
      <c r="J239" t="n">
        <v>3</v>
      </c>
      <c r="K239" t="n">
        <v>386.2</v>
      </c>
      <c r="L239" t="inlineStr">
        <is>
          <t>Primary</t>
        </is>
      </c>
    </row>
    <row r="240">
      <c r="A240" t="n">
        <v>4</v>
      </c>
      <c r="B240" s="22" t="inlineStr">
        <is>
          <t>S02</t>
        </is>
      </c>
      <c r="C240" t="inlineStr">
        <is>
          <t>PZ-A</t>
        </is>
      </c>
      <c r="D240" t="n">
        <v>18</v>
      </c>
      <c r="E240" t="inlineStr">
        <is>
          <t>H1044</t>
        </is>
      </c>
      <c r="F240" t="inlineStr">
        <is>
          <t>桃園市觀音區長春街227號旁工地</t>
        </is>
      </c>
      <c r="G240" t="n">
        <v>25.0537</v>
      </c>
      <c r="H240" t="n">
        <v>121.122423</v>
      </c>
      <c r="I240" t="n">
        <v>8</v>
      </c>
      <c r="J240" t="n">
        <v>3</v>
      </c>
      <c r="K240" t="n">
        <v>397.2</v>
      </c>
      <c r="L240" t="inlineStr">
        <is>
          <t>Primary</t>
        </is>
      </c>
    </row>
    <row r="241">
      <c r="A241" t="n">
        <v>4</v>
      </c>
      <c r="B241" s="22" t="inlineStr">
        <is>
          <t>S02</t>
        </is>
      </c>
      <c r="C241" t="inlineStr">
        <is>
          <t>PZ-A</t>
        </is>
      </c>
      <c r="D241" t="n">
        <v>19</v>
      </c>
      <c r="E241" t="inlineStr">
        <is>
          <t>H1017</t>
        </is>
      </c>
      <c r="F241" t="inlineStr">
        <is>
          <t>桃園市觀音區永吉街172號旁</t>
        </is>
      </c>
      <c r="G241" t="n">
        <v>25.051492</v>
      </c>
      <c r="H241" t="n">
        <v>121.121298</v>
      </c>
      <c r="I241" t="n">
        <v>8</v>
      </c>
      <c r="J241" t="n">
        <v>3</v>
      </c>
      <c r="K241" t="n">
        <v>408.2</v>
      </c>
      <c r="L241" t="inlineStr">
        <is>
          <t>Primary</t>
        </is>
      </c>
    </row>
    <row r="242">
      <c r="A242" t="n">
        <v>4</v>
      </c>
      <c r="B242" s="22" t="inlineStr">
        <is>
          <t>S02</t>
        </is>
      </c>
      <c r="C242" t="inlineStr">
        <is>
          <t>PZ-A</t>
        </is>
      </c>
      <c r="D242" t="n">
        <v>20</v>
      </c>
      <c r="E242" t="inlineStr">
        <is>
          <t>H1043</t>
        </is>
      </c>
      <c r="F242" t="inlineStr">
        <is>
          <t>桃園市觀音區長春街126號旁工地(觀音工業區)</t>
        </is>
      </c>
      <c r="G242" t="n">
        <v>25.052178</v>
      </c>
      <c r="H242" t="n">
        <v>121.120192</v>
      </c>
      <c r="I242" t="n">
        <v>8</v>
      </c>
      <c r="J242" t="n">
        <v>3</v>
      </c>
      <c r="K242" t="n">
        <v>419.2</v>
      </c>
      <c r="L242" t="inlineStr">
        <is>
          <t>Primary</t>
        </is>
      </c>
    </row>
    <row r="243">
      <c r="A243" t="n">
        <v>4</v>
      </c>
      <c r="B243" s="22" t="inlineStr">
        <is>
          <t>S02</t>
        </is>
      </c>
      <c r="C243" t="inlineStr">
        <is>
          <t>PZ-A</t>
        </is>
      </c>
      <c r="D243" t="n">
        <v>21</v>
      </c>
      <c r="E243" t="inlineStr">
        <is>
          <t>H1098</t>
        </is>
      </c>
      <c r="F243" t="inlineStr">
        <is>
          <t>桃園市觀音區樂群街14巷</t>
        </is>
      </c>
      <c r="G243" t="n">
        <v>25.050008</v>
      </c>
      <c r="H243" t="n">
        <v>121.121361</v>
      </c>
      <c r="I243" t="n">
        <v>8</v>
      </c>
      <c r="J243" t="n">
        <v>3</v>
      </c>
      <c r="K243" t="n">
        <v>430.2</v>
      </c>
      <c r="L243" t="inlineStr">
        <is>
          <t>Primary</t>
        </is>
      </c>
    </row>
    <row r="244">
      <c r="A244" t="n">
        <v>4</v>
      </c>
      <c r="B244" s="22" t="inlineStr">
        <is>
          <t>S02</t>
        </is>
      </c>
      <c r="C244" t="inlineStr">
        <is>
          <t>PZ-A</t>
        </is>
      </c>
      <c r="D244" t="n">
        <v>22</v>
      </c>
      <c r="E244" t="inlineStr">
        <is>
          <t>H1052</t>
        </is>
      </c>
      <c r="F244" t="inlineStr">
        <is>
          <t>桃園市觀音區泰安街58號對面</t>
        </is>
      </c>
      <c r="G244" t="n">
        <v>25.048402</v>
      </c>
      <c r="H244" t="n">
        <v>121.119795</v>
      </c>
      <c r="I244" t="n">
        <v>8</v>
      </c>
      <c r="J244" t="n">
        <v>3</v>
      </c>
      <c r="K244" t="n">
        <v>441.2</v>
      </c>
      <c r="L244" t="inlineStr">
        <is>
          <t>Primary</t>
        </is>
      </c>
    </row>
    <row r="245">
      <c r="A245" t="n">
        <v>4</v>
      </c>
      <c r="B245" s="22" t="inlineStr">
        <is>
          <t>S02</t>
        </is>
      </c>
      <c r="C245" t="inlineStr">
        <is>
          <t>PZ-A</t>
        </is>
      </c>
      <c r="D245" t="n">
        <v>23</v>
      </c>
      <c r="E245" t="inlineStr">
        <is>
          <t>H1002</t>
        </is>
      </c>
      <c r="F245" t="inlineStr">
        <is>
          <t>桃園市觀音區工業八路123號</t>
        </is>
      </c>
      <c r="G245" t="n">
        <v>25.043994</v>
      </c>
      <c r="H245" t="n">
        <v>121.111956</v>
      </c>
      <c r="I245" t="n">
        <v>8</v>
      </c>
      <c r="J245" t="n">
        <v>3</v>
      </c>
      <c r="K245" t="n">
        <v>452.2</v>
      </c>
      <c r="L245" t="inlineStr">
        <is>
          <t>Primary</t>
        </is>
      </c>
    </row>
    <row r="246">
      <c r="A246" t="n">
        <v>4</v>
      </c>
      <c r="B246" s="22" t="inlineStr">
        <is>
          <t>S02</t>
        </is>
      </c>
      <c r="C246" t="inlineStr">
        <is>
          <t>PZ-A</t>
        </is>
      </c>
      <c r="D246" t="n">
        <v>24</v>
      </c>
      <c r="E246" t="inlineStr">
        <is>
          <t>H1000</t>
        </is>
      </c>
      <c r="F246" t="inlineStr">
        <is>
          <t>桃園市觀音區工業七路10號</t>
        </is>
      </c>
      <c r="G246" t="n">
        <v>25.052894</v>
      </c>
      <c r="H246" t="n">
        <v>121.110306</v>
      </c>
      <c r="I246" t="n">
        <v>32</v>
      </c>
      <c r="J246" t="n">
        <v>3</v>
      </c>
      <c r="K246" t="n">
        <v>487.2</v>
      </c>
      <c r="L246" t="inlineStr">
        <is>
          <t>Primary</t>
        </is>
      </c>
    </row>
    <row r="247">
      <c r="A247" t="n">
        <v>4</v>
      </c>
      <c r="B247" s="22" t="inlineStr">
        <is>
          <t>S02</t>
        </is>
      </c>
      <c r="C247" t="inlineStr">
        <is>
          <t>PZ-A</t>
        </is>
      </c>
      <c r="D247" t="n">
        <v>25</v>
      </c>
      <c r="E247" t="inlineStr">
        <is>
          <t>H1057</t>
        </is>
      </c>
      <c r="F247" t="inlineStr">
        <is>
          <t>桃園市觀音區國建三路2號(國瑞汽車)</t>
        </is>
      </c>
      <c r="G247" t="n">
        <v>25.056322</v>
      </c>
      <c r="H247" t="n">
        <v>121.1096</v>
      </c>
      <c r="I247" t="n">
        <v>16</v>
      </c>
      <c r="J247" t="n">
        <v>3</v>
      </c>
      <c r="K247" t="n">
        <v>506.2</v>
      </c>
      <c r="L247" t="inlineStr">
        <is>
          <t>Primary</t>
        </is>
      </c>
    </row>
    <row r="248">
      <c r="A248" t="n">
        <v>4</v>
      </c>
      <c r="B248" s="22" t="inlineStr">
        <is>
          <t>S02</t>
        </is>
      </c>
      <c r="C248" t="inlineStr">
        <is>
          <t>PZ-A</t>
        </is>
      </c>
      <c r="D248" t="n">
        <v>26</v>
      </c>
      <c r="E248" t="inlineStr">
        <is>
          <t>H1019</t>
        </is>
      </c>
      <c r="F248" t="inlineStr">
        <is>
          <t>桃園市觀音區玉林路一段523號-永大環保</t>
        </is>
      </c>
      <c r="G248" t="n">
        <v>25.057397</v>
      </c>
      <c r="H248" t="n">
        <v>121.102453</v>
      </c>
      <c r="I248" t="n">
        <v>8</v>
      </c>
      <c r="J248" t="n">
        <v>3</v>
      </c>
      <c r="K248" t="n">
        <v>517.2</v>
      </c>
      <c r="L248" t="inlineStr">
        <is>
          <t>Primary</t>
        </is>
      </c>
    </row>
    <row r="249">
      <c r="A249" t="n">
        <v>5</v>
      </c>
      <c r="B249" s="22" t="inlineStr">
        <is>
          <t>S02</t>
        </is>
      </c>
      <c r="C249" t="inlineStr">
        <is>
          <t>PZ-A</t>
        </is>
      </c>
      <c r="D249" t="n">
        <v>1</v>
      </c>
      <c r="E249" t="inlineStr">
        <is>
          <t>H0892</t>
        </is>
      </c>
      <c r="F249" t="inlineStr">
        <is>
          <t>桃園市蘆竹區八股路302-1號</t>
        </is>
      </c>
      <c r="G249" t="n">
        <v>25.058342</v>
      </c>
      <c r="H249" t="n">
        <v>121.253042</v>
      </c>
      <c r="I249" t="n">
        <v>8</v>
      </c>
      <c r="J249" t="n">
        <v>17.1</v>
      </c>
      <c r="K249" t="n">
        <v>25.1</v>
      </c>
      <c r="L249" t="inlineStr">
        <is>
          <t>Primary</t>
        </is>
      </c>
    </row>
    <row r="250">
      <c r="A250" t="n">
        <v>5</v>
      </c>
      <c r="B250" s="22" t="inlineStr">
        <is>
          <t>S02</t>
        </is>
      </c>
      <c r="C250" t="inlineStr">
        <is>
          <t>PZ-A</t>
        </is>
      </c>
      <c r="D250" t="n">
        <v>2</v>
      </c>
      <c r="E250" t="inlineStr">
        <is>
          <t>H0890</t>
        </is>
      </c>
      <c r="F250" t="inlineStr">
        <is>
          <t>桃園市蘆竹區八股路240號-會合點</t>
        </is>
      </c>
      <c r="G250" t="n">
        <v>25.061839</v>
      </c>
      <c r="H250" t="n">
        <v>121.255581</v>
      </c>
      <c r="I250" t="n">
        <v>8</v>
      </c>
      <c r="J250" t="n">
        <v>3</v>
      </c>
      <c r="K250" t="n">
        <v>36.1</v>
      </c>
      <c r="L250" t="inlineStr">
        <is>
          <t>Primary</t>
        </is>
      </c>
    </row>
    <row r="251">
      <c r="A251" t="n">
        <v>5</v>
      </c>
      <c r="B251" s="22" t="inlineStr">
        <is>
          <t>S02</t>
        </is>
      </c>
      <c r="C251" t="inlineStr">
        <is>
          <t>PZ-A</t>
        </is>
      </c>
      <c r="D251" t="n">
        <v>3</v>
      </c>
      <c r="E251" t="inlineStr">
        <is>
          <t>H0087</t>
        </is>
      </c>
      <c r="F251" t="inlineStr">
        <is>
          <t>桃園市大園區三石段55地號-三民路二段859號對面會合點</t>
        </is>
      </c>
      <c r="G251" t="n">
        <v>25.0631</v>
      </c>
      <c r="H251" t="n">
        <v>121.257147</v>
      </c>
      <c r="I251" t="n">
        <v>8</v>
      </c>
      <c r="J251" t="n">
        <v>3</v>
      </c>
      <c r="K251" t="n">
        <v>47.1</v>
      </c>
      <c r="L251" t="inlineStr">
        <is>
          <t>Primary</t>
        </is>
      </c>
    </row>
    <row r="252">
      <c r="A252" t="n">
        <v>5</v>
      </c>
      <c r="B252" s="22" t="inlineStr">
        <is>
          <t>S02</t>
        </is>
      </c>
      <c r="C252" t="inlineStr">
        <is>
          <t>PZ-A</t>
        </is>
      </c>
      <c r="D252" t="n">
        <v>4</v>
      </c>
      <c r="E252" t="inlineStr">
        <is>
          <t>H0069</t>
        </is>
      </c>
      <c r="F252" t="inlineStr">
        <is>
          <t>桃園市大園區三民路二段810號</t>
        </is>
      </c>
      <c r="G252" t="n">
        <v>25.06485</v>
      </c>
      <c r="H252" t="n">
        <v>121.260889</v>
      </c>
      <c r="I252" t="n">
        <v>8</v>
      </c>
      <c r="J252" t="n">
        <v>3</v>
      </c>
      <c r="K252" t="n">
        <v>58.1</v>
      </c>
      <c r="L252" t="inlineStr">
        <is>
          <t>Primary</t>
        </is>
      </c>
    </row>
    <row r="253">
      <c r="A253" t="n">
        <v>5</v>
      </c>
      <c r="B253" s="22" t="inlineStr">
        <is>
          <t>S02</t>
        </is>
      </c>
      <c r="C253" t="inlineStr">
        <is>
          <t>PZ-A</t>
        </is>
      </c>
      <c r="D253" t="n">
        <v>5</v>
      </c>
      <c r="E253" t="inlineStr">
        <is>
          <t>H0059</t>
        </is>
      </c>
      <c r="F253" t="inlineStr">
        <is>
          <t>桃園市大園區(蘆竹區)三民路２段957號(三民料場帳棚旁)附圖自行定位</t>
        </is>
      </c>
      <c r="G253" t="n">
        <v>25.06835</v>
      </c>
      <c r="H253" t="n">
        <v>121.261603</v>
      </c>
      <c r="I253" t="n">
        <v>32</v>
      </c>
      <c r="J253" t="n">
        <v>3</v>
      </c>
      <c r="K253" t="n">
        <v>93.09999999999999</v>
      </c>
      <c r="L253" t="inlineStr">
        <is>
          <t>Primary</t>
        </is>
      </c>
    </row>
    <row r="254">
      <c r="A254" t="n">
        <v>5</v>
      </c>
      <c r="B254" s="22" t="inlineStr">
        <is>
          <t>S02</t>
        </is>
      </c>
      <c r="C254" t="inlineStr">
        <is>
          <t>PZ-A</t>
        </is>
      </c>
      <c r="D254" t="n">
        <v>6</v>
      </c>
      <c r="E254" t="inlineStr">
        <is>
          <t>H0068</t>
        </is>
      </c>
      <c r="F254" t="inlineStr">
        <is>
          <t>桃園市大園區三民路二段668號-銜接#75481</t>
        </is>
      </c>
      <c r="G254" t="n">
        <v>25.071911</v>
      </c>
      <c r="H254" t="n">
        <v>121.263608</v>
      </c>
      <c r="I254" t="n">
        <v>8</v>
      </c>
      <c r="J254" t="n">
        <v>3</v>
      </c>
      <c r="K254" t="n">
        <v>104.1</v>
      </c>
      <c r="L254" t="inlineStr">
        <is>
          <t>Primary</t>
        </is>
      </c>
    </row>
    <row r="255">
      <c r="A255" t="n">
        <v>5</v>
      </c>
      <c r="B255" s="22" t="inlineStr">
        <is>
          <t>S02</t>
        </is>
      </c>
      <c r="C255" t="inlineStr">
        <is>
          <t>PZ-A</t>
        </is>
      </c>
      <c r="D255" t="n">
        <v>7</v>
      </c>
      <c r="E255" t="inlineStr">
        <is>
          <t>H0091</t>
        </is>
      </c>
      <c r="F255" t="inlineStr">
        <is>
          <t>桃園市大園區大牛稠17之2號</t>
        </is>
      </c>
      <c r="G255" t="n">
        <v>25.077092</v>
      </c>
      <c r="H255" t="n">
        <v>121.253875</v>
      </c>
      <c r="I255" t="n">
        <v>16</v>
      </c>
      <c r="J255" t="n">
        <v>3</v>
      </c>
      <c r="K255" t="n">
        <v>123.1</v>
      </c>
      <c r="L255" t="inlineStr">
        <is>
          <t>Primary</t>
        </is>
      </c>
    </row>
    <row r="256">
      <c r="A256" t="n">
        <v>5</v>
      </c>
      <c r="B256" s="22" t="inlineStr">
        <is>
          <t>S02</t>
        </is>
      </c>
      <c r="C256" t="inlineStr">
        <is>
          <t>PZ-A</t>
        </is>
      </c>
      <c r="D256" t="n">
        <v>8</v>
      </c>
      <c r="E256" t="inlineStr">
        <is>
          <t>H0127</t>
        </is>
      </c>
      <c r="F256" t="inlineStr">
        <is>
          <t>桃園市大園區大園重劃區-附地標-先到三民路二段957號換通行證</t>
        </is>
      </c>
      <c r="G256" t="n">
        <v>25.065947</v>
      </c>
      <c r="H256" t="n">
        <v>121.250464</v>
      </c>
      <c r="I256" t="n">
        <v>8</v>
      </c>
      <c r="J256" t="n">
        <v>3.1</v>
      </c>
      <c r="K256" t="n">
        <v>134.1</v>
      </c>
      <c r="L256" t="inlineStr">
        <is>
          <t>Primary</t>
        </is>
      </c>
    </row>
    <row r="257">
      <c r="A257" t="n">
        <v>5</v>
      </c>
      <c r="B257" s="22" t="inlineStr">
        <is>
          <t>S02</t>
        </is>
      </c>
      <c r="C257" t="inlineStr">
        <is>
          <t>PZ-A</t>
        </is>
      </c>
      <c r="D257" t="n">
        <v>9</v>
      </c>
      <c r="E257" t="inlineStr">
        <is>
          <t>H0089</t>
        </is>
      </c>
      <c r="F257" t="inlineStr">
        <is>
          <t>桃園市大園區三塊石47-45號-google梁全威畫室</t>
        </is>
      </c>
      <c r="G257" t="n">
        <v>25.067309</v>
      </c>
      <c r="H257" t="n">
        <v>121.242686</v>
      </c>
      <c r="I257" t="n">
        <v>8</v>
      </c>
      <c r="J257" t="n">
        <v>3</v>
      </c>
      <c r="K257" t="n">
        <v>145.1</v>
      </c>
      <c r="L257" t="inlineStr">
        <is>
          <t>Primary</t>
        </is>
      </c>
    </row>
    <row r="258">
      <c r="A258" t="n">
        <v>5</v>
      </c>
      <c r="B258" s="22" t="inlineStr">
        <is>
          <t>S02</t>
        </is>
      </c>
      <c r="C258" t="inlineStr">
        <is>
          <t>PZ-A</t>
        </is>
      </c>
      <c r="D258" t="n">
        <v>10</v>
      </c>
      <c r="E258" t="inlineStr">
        <is>
          <t>H0060</t>
        </is>
      </c>
      <c r="F258" t="inlineStr">
        <is>
          <t>桃園市大園區(蘆竹區)西濱路一段511巷附近-近台61快速道路-附地標</t>
        </is>
      </c>
      <c r="G258" t="n">
        <v>25.109364</v>
      </c>
      <c r="H258" t="n">
        <v>121.232678</v>
      </c>
      <c r="I258" t="n">
        <v>8</v>
      </c>
      <c r="J258" t="n">
        <v>11.5</v>
      </c>
      <c r="K258" t="n">
        <v>164.6</v>
      </c>
      <c r="L258" t="inlineStr">
        <is>
          <t>Primary</t>
        </is>
      </c>
    </row>
    <row r="259">
      <c r="A259" t="n">
        <v>5</v>
      </c>
      <c r="B259" s="22" t="inlineStr">
        <is>
          <t>S02</t>
        </is>
      </c>
      <c r="C259" t="inlineStr">
        <is>
          <t>PZ-A</t>
        </is>
      </c>
      <c r="D259" t="n">
        <v>11</v>
      </c>
      <c r="E259" t="inlineStr">
        <is>
          <t>H0958</t>
        </is>
      </c>
      <c r="F259" t="inlineStr">
        <is>
          <t>桃園市蘆竹區泉州路250號(大古路&amp;泉州路交叉口)</t>
        </is>
      </c>
      <c r="G259" t="n">
        <v>25.101797</v>
      </c>
      <c r="H259" t="n">
        <v>121.299664</v>
      </c>
      <c r="I259" t="n">
        <v>40</v>
      </c>
      <c r="J259" t="n">
        <v>16.3</v>
      </c>
      <c r="K259" t="n">
        <v>220.9</v>
      </c>
      <c r="L259" t="inlineStr">
        <is>
          <t>Primary</t>
        </is>
      </c>
    </row>
    <row r="260">
      <c r="A260" t="n">
        <v>5</v>
      </c>
      <c r="B260" s="22" t="inlineStr">
        <is>
          <t>S02</t>
        </is>
      </c>
      <c r="C260" t="inlineStr">
        <is>
          <t>PZ-A</t>
        </is>
      </c>
      <c r="D260" t="n">
        <v>12</v>
      </c>
      <c r="E260" t="inlineStr">
        <is>
          <t>H0848</t>
        </is>
      </c>
      <c r="F260" t="inlineStr">
        <is>
          <t>桃園市龜山區文化一路86-26號(華亞一期)科技一路40號</t>
        </is>
      </c>
      <c r="G260" t="n">
        <v>25.05305763636363</v>
      </c>
      <c r="H260" t="n">
        <v>121.3770166363636</v>
      </c>
      <c r="I260" t="n">
        <v>133</v>
      </c>
      <c r="J260" t="n">
        <v>22.8</v>
      </c>
      <c r="K260" t="n">
        <v>376.7</v>
      </c>
      <c r="L260" t="inlineStr">
        <is>
          <t>Primary</t>
        </is>
      </c>
    </row>
    <row r="261">
      <c r="A261" t="n">
        <v>5</v>
      </c>
      <c r="B261" s="22" t="inlineStr">
        <is>
          <t>S02</t>
        </is>
      </c>
      <c r="C261" t="inlineStr">
        <is>
          <t>PZ-A</t>
        </is>
      </c>
      <c r="D261" t="n">
        <v>13</v>
      </c>
      <c r="E261" t="inlineStr">
        <is>
          <t>H1107</t>
        </is>
      </c>
      <c r="F261" t="inlineStr">
        <is>
          <t>桃園市觀音區觀音工業區榮工南路8號</t>
        </is>
      </c>
      <c r="G261" t="n">
        <v>25.053242</v>
      </c>
      <c r="H261" t="n">
        <v>121.130731</v>
      </c>
      <c r="I261" t="n">
        <v>32</v>
      </c>
      <c r="J261" t="n">
        <v>24.8</v>
      </c>
      <c r="K261" t="n">
        <v>433.5</v>
      </c>
      <c r="L261" t="inlineStr">
        <is>
          <t>Primary</t>
        </is>
      </c>
    </row>
    <row r="262">
      <c r="A262" t="n">
        <v>5</v>
      </c>
      <c r="B262" s="22" t="inlineStr">
        <is>
          <t>S02</t>
        </is>
      </c>
      <c r="C262" t="inlineStr">
        <is>
          <t>PZ-A</t>
        </is>
      </c>
      <c r="D262" t="n">
        <v>14</v>
      </c>
      <c r="E262" t="inlineStr">
        <is>
          <t>H1050</t>
        </is>
      </c>
      <c r="F262" t="inlineStr">
        <is>
          <t>桃園市觀音區桃科九路1號旁工地</t>
        </is>
      </c>
      <c r="G262" t="n">
        <v>25.046702</v>
      </c>
      <c r="H262" t="n">
        <v>121.089886</v>
      </c>
      <c r="I262" t="n">
        <v>8</v>
      </c>
      <c r="J262" t="n">
        <v>10</v>
      </c>
      <c r="K262" t="n">
        <v>451.6</v>
      </c>
      <c r="L262" t="inlineStr">
        <is>
          <t>Primary</t>
        </is>
      </c>
    </row>
    <row r="263">
      <c r="A263" t="n">
        <v>5</v>
      </c>
      <c r="B263" s="22" t="inlineStr">
        <is>
          <t>S02</t>
        </is>
      </c>
      <c r="C263" t="inlineStr">
        <is>
          <t>PZ-A</t>
        </is>
      </c>
      <c r="D263" t="n">
        <v>15</v>
      </c>
      <c r="E263" t="inlineStr">
        <is>
          <t>H1004</t>
        </is>
      </c>
      <c r="F263" t="inlineStr">
        <is>
          <t>桃園市觀音區中山路一段388巷80號</t>
        </is>
      </c>
      <c r="G263" t="n">
        <v>25.032909</v>
      </c>
      <c r="H263" t="n">
        <v>121.091058</v>
      </c>
      <c r="I263" t="n">
        <v>8</v>
      </c>
      <c r="J263" t="n">
        <v>3.7</v>
      </c>
      <c r="K263" t="n">
        <v>463.2</v>
      </c>
      <c r="L263" t="inlineStr">
        <is>
          <t>Primary</t>
        </is>
      </c>
    </row>
    <row r="264">
      <c r="A264" t="n">
        <v>5</v>
      </c>
      <c r="B264" s="22" t="inlineStr">
        <is>
          <t>S02</t>
        </is>
      </c>
      <c r="C264" t="inlineStr">
        <is>
          <t>PZ-A</t>
        </is>
      </c>
      <c r="D264" t="n">
        <v>16</v>
      </c>
      <c r="E264" t="inlineStr">
        <is>
          <t>H1042</t>
        </is>
      </c>
      <c r="F264" t="inlineStr">
        <is>
          <t>桃園市觀音區武威路458巷7號對面</t>
        </is>
      </c>
      <c r="G264" t="n">
        <v>25.026611</v>
      </c>
      <c r="H264" t="n">
        <v>121.070228</v>
      </c>
      <c r="I264" t="n">
        <v>8</v>
      </c>
      <c r="J264" t="n">
        <v>5.3</v>
      </c>
      <c r="K264" t="n">
        <v>476.6</v>
      </c>
      <c r="L264" t="inlineStr">
        <is>
          <t>Primary</t>
        </is>
      </c>
    </row>
    <row r="265">
      <c r="A265" t="n">
        <v>5</v>
      </c>
      <c r="B265" s="22" t="inlineStr">
        <is>
          <t>S02</t>
        </is>
      </c>
      <c r="C265" t="inlineStr">
        <is>
          <t>PZ-A</t>
        </is>
      </c>
      <c r="D265" t="n">
        <v>17</v>
      </c>
      <c r="E265" t="inlineStr">
        <is>
          <t>H0990</t>
        </is>
      </c>
      <c r="F265" t="inlineStr">
        <is>
          <t>桃園市觀音區大潭里7鄰22之1號-電聯帶定位</t>
        </is>
      </c>
      <c r="G265" t="n">
        <v>25.026495</v>
      </c>
      <c r="H265" t="n">
        <v>121.0619</v>
      </c>
      <c r="I265" t="n">
        <v>8</v>
      </c>
      <c r="J265" t="n">
        <v>3</v>
      </c>
      <c r="K265" t="n">
        <v>487.6</v>
      </c>
      <c r="L265" t="inlineStr">
        <is>
          <t>Primary</t>
        </is>
      </c>
    </row>
    <row r="266">
      <c r="A266" t="n">
        <v>5</v>
      </c>
      <c r="B266" s="22" t="inlineStr">
        <is>
          <t>S02</t>
        </is>
      </c>
      <c r="C266" t="inlineStr">
        <is>
          <t>PZ-A</t>
        </is>
      </c>
      <c r="D266" t="n">
        <v>18</v>
      </c>
      <c r="E266" t="inlineStr">
        <is>
          <t>H1045</t>
        </is>
      </c>
      <c r="F266" t="inlineStr">
        <is>
          <t>桃園市觀音區保生九街&amp;大潭五路</t>
        </is>
      </c>
      <c r="G266" t="n">
        <v>25.024725</v>
      </c>
      <c r="H266" t="n">
        <v>121.055225</v>
      </c>
      <c r="I266" t="n">
        <v>8</v>
      </c>
      <c r="J266" t="n">
        <v>3</v>
      </c>
      <c r="K266" t="n">
        <v>498.6</v>
      </c>
      <c r="L266" t="inlineStr">
        <is>
          <t>Primary</t>
        </is>
      </c>
    </row>
    <row r="267">
      <c r="A267" t="n">
        <v>5</v>
      </c>
      <c r="B267" s="22" t="inlineStr">
        <is>
          <t>S02</t>
        </is>
      </c>
      <c r="C267" t="inlineStr">
        <is>
          <t>PZ-A</t>
        </is>
      </c>
      <c r="D267" t="n">
        <v>19</v>
      </c>
      <c r="E267" t="inlineStr">
        <is>
          <t>H1083</t>
        </is>
      </c>
      <c r="F267" t="inlineStr">
        <is>
          <t>桃園市觀音區電廠一路-觀塘-附定位照</t>
        </is>
      </c>
      <c r="G267" t="n">
        <v>25.03415</v>
      </c>
      <c r="H267" t="n">
        <v>121.04865</v>
      </c>
      <c r="I267" t="n">
        <v>8</v>
      </c>
      <c r="J267" t="n">
        <v>3</v>
      </c>
      <c r="K267" t="n">
        <v>509.6</v>
      </c>
      <c r="L267" t="inlineStr">
        <is>
          <t>Primary</t>
        </is>
      </c>
    </row>
    <row r="268">
      <c r="A268" t="n">
        <v>6</v>
      </c>
      <c r="B268" s="22" t="inlineStr">
        <is>
          <t>S02</t>
        </is>
      </c>
      <c r="C268" t="inlineStr">
        <is>
          <t>PZ-A</t>
        </is>
      </c>
      <c r="D268" t="n">
        <v>1</v>
      </c>
      <c r="E268" t="inlineStr">
        <is>
          <t>H1084</t>
        </is>
      </c>
      <c r="F268" t="inlineStr">
        <is>
          <t>桃園市觀音區電廠路1號(大潭電廠)-出入需換證件</t>
        </is>
      </c>
      <c r="G268" t="n">
        <v>25.033278</v>
      </c>
      <c r="H268" t="n">
        <v>121.051778</v>
      </c>
      <c r="I268" t="n">
        <v>160</v>
      </c>
      <c r="J268" t="n">
        <v>22.6</v>
      </c>
      <c r="K268" t="n">
        <v>182.6</v>
      </c>
      <c r="L268" t="inlineStr">
        <is>
          <t>Primary</t>
        </is>
      </c>
    </row>
    <row r="269">
      <c r="A269" t="n">
        <v>6</v>
      </c>
      <c r="B269" s="22" t="inlineStr">
        <is>
          <t>S02</t>
        </is>
      </c>
      <c r="C269" t="inlineStr">
        <is>
          <t>PZ-C</t>
        </is>
      </c>
      <c r="D269" t="n">
        <v>2</v>
      </c>
      <c r="E269" t="inlineStr">
        <is>
          <t>J0046</t>
        </is>
      </c>
      <c r="F269" t="inlineStr">
        <is>
          <t>新竹縣竹北市博愛街402號</t>
        </is>
      </c>
      <c r="G269" t="n">
        <v>24.845647</v>
      </c>
      <c r="H269" t="n">
        <v>120.972456</v>
      </c>
      <c r="I269" t="n">
        <v>8</v>
      </c>
      <c r="J269" t="n">
        <v>22.3</v>
      </c>
      <c r="K269" t="n">
        <v>212.9</v>
      </c>
      <c r="L269" s="21" t="inlineStr">
        <is>
          <t>Support</t>
        </is>
      </c>
    </row>
    <row r="270">
      <c r="A270" t="n">
        <v>6</v>
      </c>
      <c r="B270" s="22" t="inlineStr">
        <is>
          <t>S02</t>
        </is>
      </c>
      <c r="C270" t="inlineStr">
        <is>
          <t>PZ-C</t>
        </is>
      </c>
      <c r="D270" t="n">
        <v>3</v>
      </c>
      <c r="E270" t="inlineStr">
        <is>
          <t>O0036</t>
        </is>
      </c>
      <c r="F270" t="inlineStr">
        <is>
          <t>新竹市北區鐵道路二段146號對面</t>
        </is>
      </c>
      <c r="G270" t="n">
        <v>24.82141485714286</v>
      </c>
      <c r="H270" t="n">
        <v>120.9724444285714</v>
      </c>
      <c r="I270" t="n">
        <v>116</v>
      </c>
      <c r="J270" t="n">
        <v>6.5</v>
      </c>
      <c r="K270" t="n">
        <v>335.4</v>
      </c>
      <c r="L270" s="21" t="inlineStr">
        <is>
          <t>Support</t>
        </is>
      </c>
    </row>
    <row r="271">
      <c r="A271" t="n">
        <v>6</v>
      </c>
      <c r="B271" s="22" t="inlineStr">
        <is>
          <t>S02</t>
        </is>
      </c>
      <c r="C271" t="inlineStr">
        <is>
          <t>PZ-C</t>
        </is>
      </c>
      <c r="D271" t="n">
        <v>4</v>
      </c>
      <c r="E271" t="inlineStr">
        <is>
          <t>O0032</t>
        </is>
      </c>
      <c r="F271" t="inlineStr">
        <is>
          <t>新竹市北區榮濱路19巷27號</t>
        </is>
      </c>
      <c r="G271" t="n">
        <v>24.84091433333333</v>
      </c>
      <c r="H271" t="n">
        <v>120.9287403333333</v>
      </c>
      <c r="I271" t="n">
        <v>48</v>
      </c>
      <c r="J271" t="n">
        <v>11.8</v>
      </c>
      <c r="K271" t="n">
        <v>395.2</v>
      </c>
      <c r="L271" s="21" t="inlineStr">
        <is>
          <t>Support</t>
        </is>
      </c>
    </row>
    <row r="272">
      <c r="A272" t="n">
        <v>6</v>
      </c>
      <c r="B272" s="22" t="inlineStr">
        <is>
          <t>S02</t>
        </is>
      </c>
      <c r="C272" t="inlineStr">
        <is>
          <t>PZ-C</t>
        </is>
      </c>
      <c r="D272" t="n">
        <v>5</v>
      </c>
      <c r="E272" t="inlineStr">
        <is>
          <t>O0057</t>
        </is>
      </c>
      <c r="F272" t="inlineStr">
        <is>
          <t>新竹市東區仲生路43號</t>
        </is>
      </c>
      <c r="G272" t="n">
        <v>24.769136</v>
      </c>
      <c r="H272" t="n">
        <v>120.968892</v>
      </c>
      <c r="I272" t="n">
        <v>8</v>
      </c>
      <c r="J272" t="n">
        <v>21.5</v>
      </c>
      <c r="K272" t="n">
        <v>424.7</v>
      </c>
      <c r="L272" s="21" t="inlineStr">
        <is>
          <t>Support</t>
        </is>
      </c>
    </row>
    <row r="273">
      <c r="A273" t="n">
        <v>1</v>
      </c>
      <c r="B273" s="23" t="inlineStr">
        <is>
          <t>S03</t>
        </is>
      </c>
      <c r="C273" t="inlineStr">
        <is>
          <t>PZ-A</t>
        </is>
      </c>
      <c r="D273" t="n">
        <v>1</v>
      </c>
      <c r="E273" t="inlineStr">
        <is>
          <t>H0224</t>
        </is>
      </c>
      <c r="F273" t="inlineStr">
        <is>
          <t>桃園市大園區致維街&amp;公園路一段路口</t>
        </is>
      </c>
      <c r="G273" t="n">
        <v>25.003614</v>
      </c>
      <c r="H273" t="n">
        <v>121.213042</v>
      </c>
      <c r="I273" t="n">
        <v>24</v>
      </c>
      <c r="J273" t="n">
        <v>10.9</v>
      </c>
      <c r="K273" t="n">
        <v>34.9</v>
      </c>
      <c r="L273" t="inlineStr">
        <is>
          <t>Primary</t>
        </is>
      </c>
    </row>
    <row r="274">
      <c r="A274" t="n">
        <v>1</v>
      </c>
      <c r="B274" s="23" t="inlineStr">
        <is>
          <t>S03</t>
        </is>
      </c>
      <c r="C274" t="inlineStr">
        <is>
          <t>PZ-A</t>
        </is>
      </c>
      <c r="D274" t="n">
        <v>2</v>
      </c>
      <c r="E274" t="inlineStr">
        <is>
          <t>H0224</t>
        </is>
      </c>
      <c r="F274" t="inlineStr">
        <is>
          <t>桃園市大園區致維街&amp;公園路一段路口</t>
        </is>
      </c>
      <c r="G274" t="n">
        <v>25.003938</v>
      </c>
      <c r="H274" t="n">
        <v>121.2116967</v>
      </c>
      <c r="I274" t="n">
        <v>24</v>
      </c>
      <c r="J274" t="n">
        <v>3</v>
      </c>
      <c r="K274" t="n">
        <v>61.9</v>
      </c>
      <c r="L274" t="inlineStr">
        <is>
          <t>Primary</t>
        </is>
      </c>
    </row>
    <row r="275">
      <c r="A275" t="n">
        <v>1</v>
      </c>
      <c r="B275" s="23" t="inlineStr">
        <is>
          <t>S03</t>
        </is>
      </c>
      <c r="C275" t="inlineStr">
        <is>
          <t>PZ-A</t>
        </is>
      </c>
      <c r="D275" t="n">
        <v>3</v>
      </c>
      <c r="E275" t="inlineStr">
        <is>
          <t>H0265</t>
        </is>
      </c>
      <c r="F275" t="inlineStr">
        <is>
          <t>桃園市大園區興德路128號</t>
        </is>
      </c>
      <c r="G275" t="n">
        <v>25.017711</v>
      </c>
      <c r="H275" t="n">
        <v>121.210811</v>
      </c>
      <c r="I275" t="n">
        <v>8</v>
      </c>
      <c r="J275" t="n">
        <v>3.7</v>
      </c>
      <c r="K275" t="n">
        <v>73.5</v>
      </c>
      <c r="L275" t="inlineStr">
        <is>
          <t>Primary</t>
        </is>
      </c>
    </row>
    <row r="276">
      <c r="A276" t="n">
        <v>1</v>
      </c>
      <c r="B276" s="23" t="inlineStr">
        <is>
          <t>S03</t>
        </is>
      </c>
      <c r="C276" t="inlineStr">
        <is>
          <t>PZ-A</t>
        </is>
      </c>
      <c r="D276" t="n">
        <v>4</v>
      </c>
      <c r="E276" t="inlineStr">
        <is>
          <t>H0268</t>
        </is>
      </c>
      <c r="F276" t="inlineStr">
        <is>
          <t>桃園市大園區興德路67號旁工地</t>
        </is>
      </c>
      <c r="G276" t="n">
        <v>25.018309</v>
      </c>
      <c r="H276" t="n">
        <v>121.21155</v>
      </c>
      <c r="I276" t="n">
        <v>8</v>
      </c>
      <c r="J276" t="n">
        <v>2</v>
      </c>
      <c r="K276" t="n">
        <v>83.5</v>
      </c>
      <c r="L276" t="inlineStr">
        <is>
          <t>Primary</t>
        </is>
      </c>
    </row>
    <row r="277">
      <c r="A277" t="n">
        <v>1</v>
      </c>
      <c r="B277" s="23" t="inlineStr">
        <is>
          <t>S03</t>
        </is>
      </c>
      <c r="C277" t="inlineStr">
        <is>
          <t>PZ-A</t>
        </is>
      </c>
      <c r="D277" t="n">
        <v>5</v>
      </c>
      <c r="E277" t="inlineStr">
        <is>
          <t>H0216</t>
        </is>
      </c>
      <c r="F277" t="inlineStr">
        <is>
          <t>桃園市大園區明德街11號</t>
        </is>
      </c>
      <c r="G277" t="n">
        <v>25.018728</v>
      </c>
      <c r="H277" t="n">
        <v>121.212844</v>
      </c>
      <c r="I277" t="n">
        <v>8</v>
      </c>
      <c r="J277" t="n">
        <v>3</v>
      </c>
      <c r="K277" t="n">
        <v>94.5</v>
      </c>
      <c r="L277" t="inlineStr">
        <is>
          <t>Primary</t>
        </is>
      </c>
    </row>
    <row r="278">
      <c r="A278" t="n">
        <v>1</v>
      </c>
      <c r="B278" s="23" t="inlineStr">
        <is>
          <t>S03</t>
        </is>
      </c>
      <c r="C278" t="inlineStr">
        <is>
          <t>PZ-A</t>
        </is>
      </c>
      <c r="D278" t="n">
        <v>6</v>
      </c>
      <c r="E278" t="inlineStr">
        <is>
          <t>H0217</t>
        </is>
      </c>
      <c r="F278" t="inlineStr">
        <is>
          <t>桃園市大園區明德街32號旁</t>
        </is>
      </c>
      <c r="G278" t="n">
        <v>25.01885</v>
      </c>
      <c r="H278" t="n">
        <v>121.212992</v>
      </c>
      <c r="I278" t="n">
        <v>8</v>
      </c>
      <c r="J278" t="n">
        <v>2</v>
      </c>
      <c r="K278" t="n">
        <v>104.5</v>
      </c>
      <c r="L278" t="inlineStr">
        <is>
          <t>Primary</t>
        </is>
      </c>
    </row>
    <row r="279">
      <c r="A279" t="n">
        <v>1</v>
      </c>
      <c r="B279" s="23" t="inlineStr">
        <is>
          <t>S03</t>
        </is>
      </c>
      <c r="C279" t="inlineStr">
        <is>
          <t>PZ-A</t>
        </is>
      </c>
      <c r="D279" t="n">
        <v>7</v>
      </c>
      <c r="E279" t="inlineStr">
        <is>
          <t>H0191</t>
        </is>
      </c>
      <c r="F279" t="inlineStr">
        <is>
          <t>桃園市大園區永園路二段152號隔壁</t>
        </is>
      </c>
      <c r="G279" t="n">
        <v>25.019664</v>
      </c>
      <c r="H279" t="n">
        <v>121.212342</v>
      </c>
      <c r="I279" t="n">
        <v>8</v>
      </c>
      <c r="J279" t="n">
        <v>3</v>
      </c>
      <c r="K279" t="n">
        <v>115.5</v>
      </c>
      <c r="L279" t="inlineStr">
        <is>
          <t>Primary</t>
        </is>
      </c>
    </row>
    <row r="280">
      <c r="A280" t="n">
        <v>1</v>
      </c>
      <c r="B280" s="23" t="inlineStr">
        <is>
          <t>S03</t>
        </is>
      </c>
      <c r="C280" t="inlineStr">
        <is>
          <t>PZ-A</t>
        </is>
      </c>
      <c r="D280" t="n">
        <v>8</v>
      </c>
      <c r="E280" t="inlineStr">
        <is>
          <t>H0190</t>
        </is>
      </c>
      <c r="F280" t="inlineStr">
        <is>
          <t>桃園市大園區永園路二段136號旁</t>
        </is>
      </c>
      <c r="G280" t="n">
        <v>25.019653</v>
      </c>
      <c r="H280" t="n">
        <v>121.212017</v>
      </c>
      <c r="I280" t="n">
        <v>8</v>
      </c>
      <c r="J280" t="n">
        <v>2</v>
      </c>
      <c r="K280" t="n">
        <v>125.5</v>
      </c>
      <c r="L280" t="inlineStr">
        <is>
          <t>Primary</t>
        </is>
      </c>
    </row>
    <row r="281">
      <c r="A281" t="n">
        <v>1</v>
      </c>
      <c r="B281" s="23" t="inlineStr">
        <is>
          <t>S03</t>
        </is>
      </c>
      <c r="C281" t="inlineStr">
        <is>
          <t>PZ-A</t>
        </is>
      </c>
      <c r="D281" t="n">
        <v>9</v>
      </c>
      <c r="E281" t="inlineStr">
        <is>
          <t>H0267</t>
        </is>
      </c>
      <c r="F281" t="inlineStr">
        <is>
          <t>桃園市大園區興德路67號附近-地號141</t>
        </is>
      </c>
      <c r="G281" t="n">
        <v>25.020111</v>
      </c>
      <c r="H281" t="n">
        <v>121.211764</v>
      </c>
      <c r="I281" t="n">
        <v>8</v>
      </c>
      <c r="J281" t="n">
        <v>2</v>
      </c>
      <c r="K281" t="n">
        <v>135.5</v>
      </c>
      <c r="L281" t="inlineStr">
        <is>
          <t>Primary</t>
        </is>
      </c>
    </row>
    <row r="282">
      <c r="A282" t="n">
        <v>1</v>
      </c>
      <c r="B282" s="23" t="inlineStr">
        <is>
          <t>S03</t>
        </is>
      </c>
      <c r="C282" t="inlineStr">
        <is>
          <t>PZ-A</t>
        </is>
      </c>
      <c r="D282" t="n">
        <v>10</v>
      </c>
      <c r="E282" t="inlineStr">
        <is>
          <t>H0137</t>
        </is>
      </c>
      <c r="F282" t="inlineStr">
        <is>
          <t>桃園市大園區中山南路2段501巷11號-靠近永園路二段</t>
        </is>
      </c>
      <c r="G282" t="n">
        <v>25.020125</v>
      </c>
      <c r="H282" t="n">
        <v>121.211719</v>
      </c>
      <c r="I282" t="n">
        <v>8</v>
      </c>
      <c r="J282" t="n">
        <v>2</v>
      </c>
      <c r="K282" t="n">
        <v>145.5</v>
      </c>
      <c r="L282" t="inlineStr">
        <is>
          <t>Primary</t>
        </is>
      </c>
    </row>
    <row r="283">
      <c r="A283" t="n">
        <v>1</v>
      </c>
      <c r="B283" s="23" t="inlineStr">
        <is>
          <t>S03</t>
        </is>
      </c>
      <c r="C283" t="inlineStr">
        <is>
          <t>PZ-A</t>
        </is>
      </c>
      <c r="D283" t="n">
        <v>11</v>
      </c>
      <c r="E283" t="inlineStr">
        <is>
          <t>H0218</t>
        </is>
      </c>
      <c r="F283" t="inlineStr">
        <is>
          <t>桃園市大園區青埔段153地號-大園重劃區-附地標</t>
        </is>
      </c>
      <c r="G283" t="n">
        <v>25.020253</v>
      </c>
      <c r="H283" t="n">
        <v>121.212008</v>
      </c>
      <c r="I283" t="n">
        <v>8</v>
      </c>
      <c r="J283" t="n">
        <v>2</v>
      </c>
      <c r="K283" t="n">
        <v>155.5</v>
      </c>
      <c r="L283" t="inlineStr">
        <is>
          <t>Primary</t>
        </is>
      </c>
    </row>
    <row r="284">
      <c r="A284" t="n">
        <v>1</v>
      </c>
      <c r="B284" s="23" t="inlineStr">
        <is>
          <t>S03</t>
        </is>
      </c>
      <c r="C284" t="inlineStr">
        <is>
          <t>PZ-A</t>
        </is>
      </c>
      <c r="D284" t="n">
        <v>12</v>
      </c>
      <c r="E284" t="inlineStr">
        <is>
          <t>H0195</t>
        </is>
      </c>
      <c r="F284" t="inlineStr">
        <is>
          <t>桃園市大園區永園路二段183巷11號</t>
        </is>
      </c>
      <c r="G284" t="n">
        <v>25.020428</v>
      </c>
      <c r="H284" t="n">
        <v>121.212106</v>
      </c>
      <c r="I284" t="n">
        <v>8</v>
      </c>
      <c r="J284" t="n">
        <v>2</v>
      </c>
      <c r="K284" t="n">
        <v>165.5</v>
      </c>
      <c r="L284" t="inlineStr">
        <is>
          <t>Primary</t>
        </is>
      </c>
    </row>
    <row r="285">
      <c r="A285" t="n">
        <v>1</v>
      </c>
      <c r="B285" s="23" t="inlineStr">
        <is>
          <t>S03</t>
        </is>
      </c>
      <c r="C285" t="inlineStr">
        <is>
          <t>PZ-A</t>
        </is>
      </c>
      <c r="D285" t="n">
        <v>13</v>
      </c>
      <c r="E285" t="inlineStr">
        <is>
          <t>H0199</t>
        </is>
      </c>
      <c r="F285" t="inlineStr">
        <is>
          <t>桃園市大園區永園路二段183巷-青埔段131-132地號</t>
        </is>
      </c>
      <c r="G285" t="n">
        <v>25.020231</v>
      </c>
      <c r="H285" t="n">
        <v>121.211078</v>
      </c>
      <c r="I285" t="n">
        <v>8</v>
      </c>
      <c r="J285" t="n">
        <v>3</v>
      </c>
      <c r="K285" t="n">
        <v>176.5</v>
      </c>
      <c r="L285" t="inlineStr">
        <is>
          <t>Primary</t>
        </is>
      </c>
    </row>
    <row r="286">
      <c r="A286" t="n">
        <v>1</v>
      </c>
      <c r="B286" s="23" t="inlineStr">
        <is>
          <t>S03</t>
        </is>
      </c>
      <c r="C286" t="inlineStr">
        <is>
          <t>PZ-A</t>
        </is>
      </c>
      <c r="D286" t="n">
        <v>14</v>
      </c>
      <c r="E286" t="inlineStr">
        <is>
          <t>H0136</t>
        </is>
      </c>
      <c r="F286" t="inlineStr">
        <is>
          <t>桃園市大園區中山南路2段187巷進去</t>
        </is>
      </c>
      <c r="G286" t="n">
        <v>25.021748</v>
      </c>
      <c r="H286" t="n">
        <v>121.210528</v>
      </c>
      <c r="I286" t="n">
        <v>16</v>
      </c>
      <c r="J286" t="n">
        <v>3</v>
      </c>
      <c r="K286" t="n">
        <v>195.5</v>
      </c>
      <c r="L286" t="inlineStr">
        <is>
          <t>Primary</t>
        </is>
      </c>
    </row>
    <row r="287">
      <c r="A287" t="n">
        <v>1</v>
      </c>
      <c r="B287" s="23" t="inlineStr">
        <is>
          <t>S03</t>
        </is>
      </c>
      <c r="C287" t="inlineStr">
        <is>
          <t>PZ-A</t>
        </is>
      </c>
      <c r="D287" t="n">
        <v>15</v>
      </c>
      <c r="E287" t="inlineStr">
        <is>
          <t>H0197</t>
        </is>
      </c>
      <c r="F287" t="inlineStr">
        <is>
          <t>桃園市大園區永園路二段183巷141號附近</t>
        </is>
      </c>
      <c r="G287" t="n">
        <v>25.02037</v>
      </c>
      <c r="H287" t="n">
        <v>121.209058</v>
      </c>
      <c r="I287" t="n">
        <v>8</v>
      </c>
      <c r="J287" t="n">
        <v>3</v>
      </c>
      <c r="K287" t="n">
        <v>206.5</v>
      </c>
      <c r="L287" t="inlineStr">
        <is>
          <t>Primary</t>
        </is>
      </c>
    </row>
    <row r="288">
      <c r="A288" t="n">
        <v>1</v>
      </c>
      <c r="B288" s="23" t="inlineStr">
        <is>
          <t>S03</t>
        </is>
      </c>
      <c r="C288" t="inlineStr">
        <is>
          <t>PZ-A</t>
        </is>
      </c>
      <c r="D288" t="n">
        <v>16</v>
      </c>
      <c r="E288" t="inlineStr">
        <is>
          <t>H0194</t>
        </is>
      </c>
      <c r="F288" t="inlineStr">
        <is>
          <t>桃園市大園區永園路二段183巷113號旁</t>
        </is>
      </c>
      <c r="G288" t="n">
        <v>25.020286</v>
      </c>
      <c r="H288" t="n">
        <v>121.208789</v>
      </c>
      <c r="I288" t="n">
        <v>16</v>
      </c>
      <c r="J288" t="n">
        <v>2</v>
      </c>
      <c r="K288" t="n">
        <v>224.5</v>
      </c>
      <c r="L288" t="inlineStr">
        <is>
          <t>Primary</t>
        </is>
      </c>
    </row>
    <row r="289">
      <c r="A289" t="n">
        <v>1</v>
      </c>
      <c r="B289" s="23" t="inlineStr">
        <is>
          <t>S03</t>
        </is>
      </c>
      <c r="C289" t="inlineStr">
        <is>
          <t>PZ-A</t>
        </is>
      </c>
      <c r="D289" t="n">
        <v>17</v>
      </c>
      <c r="E289" t="inlineStr">
        <is>
          <t>H0220</t>
        </is>
      </c>
      <c r="F289" t="inlineStr">
        <is>
          <t>桃園市大園區青埔段43地號-大園重劃區-附地標</t>
        </is>
      </c>
      <c r="G289" t="n">
        <v>25.020106</v>
      </c>
      <c r="H289" t="n">
        <v>121.208675</v>
      </c>
      <c r="I289" t="n">
        <v>8</v>
      </c>
      <c r="J289" t="n">
        <v>2</v>
      </c>
      <c r="K289" t="n">
        <v>234.5</v>
      </c>
      <c r="L289" t="inlineStr">
        <is>
          <t>Primary</t>
        </is>
      </c>
    </row>
    <row r="290">
      <c r="A290" t="n">
        <v>1</v>
      </c>
      <c r="B290" s="23" t="inlineStr">
        <is>
          <t>S03</t>
        </is>
      </c>
      <c r="C290" t="inlineStr">
        <is>
          <t>PZ-A</t>
        </is>
      </c>
      <c r="D290" t="n">
        <v>18</v>
      </c>
      <c r="E290" t="inlineStr">
        <is>
          <t>H0200</t>
        </is>
      </c>
      <c r="F290" t="inlineStr">
        <is>
          <t>桃園市大園區永園路二段183巷與君悅別墅交叉口(青埔段70地號)-大園重劃區-附地標</t>
        </is>
      </c>
      <c r="G290" t="n">
        <v>25.019861</v>
      </c>
      <c r="H290" t="n">
        <v>121.208983</v>
      </c>
      <c r="I290" t="n">
        <v>8</v>
      </c>
      <c r="J290" t="n">
        <v>2</v>
      </c>
      <c r="K290" t="n">
        <v>244.5</v>
      </c>
      <c r="L290" t="inlineStr">
        <is>
          <t>Primary</t>
        </is>
      </c>
    </row>
    <row r="291">
      <c r="A291" t="n">
        <v>1</v>
      </c>
      <c r="B291" s="23" t="inlineStr">
        <is>
          <t>S03</t>
        </is>
      </c>
      <c r="C291" t="inlineStr">
        <is>
          <t>PZ-A</t>
        </is>
      </c>
      <c r="D291" t="n">
        <v>19</v>
      </c>
      <c r="E291" t="inlineStr">
        <is>
          <t>H0192</t>
        </is>
      </c>
      <c r="F291" t="inlineStr">
        <is>
          <t>桃園市大園區永園路二段183巷113號</t>
        </is>
      </c>
      <c r="G291" t="n">
        <v>25.019553</v>
      </c>
      <c r="H291" t="n">
        <v>121.208864</v>
      </c>
      <c r="I291" t="n">
        <v>8</v>
      </c>
      <c r="J291" t="n">
        <v>2</v>
      </c>
      <c r="K291" t="n">
        <v>254.5</v>
      </c>
      <c r="L291" t="inlineStr">
        <is>
          <t>Primary</t>
        </is>
      </c>
    </row>
    <row r="292">
      <c r="A292" t="n">
        <v>1</v>
      </c>
      <c r="B292" s="23" t="inlineStr">
        <is>
          <t>S03</t>
        </is>
      </c>
      <c r="C292" t="inlineStr">
        <is>
          <t>PZ-A</t>
        </is>
      </c>
      <c r="D292" t="n">
        <v>20</v>
      </c>
      <c r="E292" t="inlineStr">
        <is>
          <t>H0196</t>
        </is>
      </c>
      <c r="F292" t="inlineStr">
        <is>
          <t>桃園市大園區永園路二段183巷141號</t>
        </is>
      </c>
      <c r="G292" t="n">
        <v>25.018953</v>
      </c>
      <c r="H292" t="n">
        <v>121.208828</v>
      </c>
      <c r="I292" t="n">
        <v>8</v>
      </c>
      <c r="J292" t="n">
        <v>2</v>
      </c>
      <c r="K292" t="n">
        <v>264.5</v>
      </c>
      <c r="L292" t="inlineStr">
        <is>
          <t>Primary</t>
        </is>
      </c>
    </row>
    <row r="293">
      <c r="A293" t="n">
        <v>1</v>
      </c>
      <c r="B293" s="23" t="inlineStr">
        <is>
          <t>S03</t>
        </is>
      </c>
      <c r="C293" t="inlineStr">
        <is>
          <t>PZ-A</t>
        </is>
      </c>
      <c r="D293" t="n">
        <v>21</v>
      </c>
      <c r="E293" t="inlineStr">
        <is>
          <t>H0221</t>
        </is>
      </c>
      <c r="F293" t="inlineStr">
        <is>
          <t xml:space="preserve">桃園市大園區青埔段93-95地號-大園重劃區-(永園路二段附近) </t>
        </is>
      </c>
      <c r="G293" t="n">
        <v>25.018853</v>
      </c>
      <c r="H293" t="n">
        <v>121.208733</v>
      </c>
      <c r="I293" t="n">
        <v>8</v>
      </c>
      <c r="J293" t="n">
        <v>2</v>
      </c>
      <c r="K293" t="n">
        <v>274.5</v>
      </c>
      <c r="L293" t="inlineStr">
        <is>
          <t>Primary</t>
        </is>
      </c>
    </row>
    <row r="294">
      <c r="A294" t="n">
        <v>1</v>
      </c>
      <c r="B294" s="23" t="inlineStr">
        <is>
          <t>S03</t>
        </is>
      </c>
      <c r="C294" t="inlineStr">
        <is>
          <t>PZ-A</t>
        </is>
      </c>
      <c r="D294" t="n">
        <v>22</v>
      </c>
      <c r="E294" t="inlineStr">
        <is>
          <t>H0203</t>
        </is>
      </c>
      <c r="F294" t="inlineStr">
        <is>
          <t>桃園市大園區永園路二段-航空城-附地標</t>
        </is>
      </c>
      <c r="G294" t="n">
        <v>25.018903</v>
      </c>
      <c r="H294" t="n">
        <v>121.208683</v>
      </c>
      <c r="I294" t="n">
        <v>8</v>
      </c>
      <c r="J294" t="n">
        <v>2</v>
      </c>
      <c r="K294" t="n">
        <v>284.5</v>
      </c>
      <c r="L294" t="inlineStr">
        <is>
          <t>Primary</t>
        </is>
      </c>
    </row>
    <row r="295">
      <c r="A295" t="n">
        <v>1</v>
      </c>
      <c r="B295" s="23" t="inlineStr">
        <is>
          <t>S03</t>
        </is>
      </c>
      <c r="C295" t="inlineStr">
        <is>
          <t>PZ-A</t>
        </is>
      </c>
      <c r="D295" t="n">
        <v>23</v>
      </c>
      <c r="E295" t="inlineStr">
        <is>
          <t>H0266</t>
        </is>
      </c>
      <c r="F295" t="inlineStr">
        <is>
          <t>桃園市大園區興德路67號附近-地號102</t>
        </is>
      </c>
      <c r="G295" t="n">
        <v>25.018711</v>
      </c>
      <c r="H295" t="n">
        <v>121.209331</v>
      </c>
      <c r="I295" t="n">
        <v>8</v>
      </c>
      <c r="J295" t="n">
        <v>2</v>
      </c>
      <c r="K295" t="n">
        <v>294.5</v>
      </c>
      <c r="L295" t="inlineStr">
        <is>
          <t>Primary</t>
        </is>
      </c>
    </row>
    <row r="296">
      <c r="A296" t="n">
        <v>1</v>
      </c>
      <c r="B296" s="23" t="inlineStr">
        <is>
          <t>S03</t>
        </is>
      </c>
      <c r="C296" t="inlineStr">
        <is>
          <t>PZ-A</t>
        </is>
      </c>
      <c r="D296" t="n">
        <v>24</v>
      </c>
      <c r="E296" t="inlineStr">
        <is>
          <t>H0201</t>
        </is>
      </c>
      <c r="F296" t="inlineStr">
        <is>
          <t>桃園市大園區永園路二段87-89號附近&amp;春德路邊</t>
        </is>
      </c>
      <c r="G296" t="n">
        <v>25.018359</v>
      </c>
      <c r="H296" t="n">
        <v>121.209458</v>
      </c>
      <c r="I296" t="n">
        <v>8</v>
      </c>
      <c r="J296" t="n">
        <v>2</v>
      </c>
      <c r="K296" t="n">
        <v>304.5</v>
      </c>
      <c r="L296" t="inlineStr">
        <is>
          <t>Primary</t>
        </is>
      </c>
    </row>
    <row r="297">
      <c r="A297" t="n">
        <v>1</v>
      </c>
      <c r="B297" s="23" t="inlineStr">
        <is>
          <t>S03</t>
        </is>
      </c>
      <c r="C297" t="inlineStr">
        <is>
          <t>PZ-A</t>
        </is>
      </c>
      <c r="D297" t="n">
        <v>25</v>
      </c>
      <c r="E297" t="inlineStr">
        <is>
          <t>H0202</t>
        </is>
      </c>
      <c r="F297" t="inlineStr">
        <is>
          <t>桃園市大園區永園路二段87號旁</t>
        </is>
      </c>
      <c r="G297" t="n">
        <v>25.018486</v>
      </c>
      <c r="H297" t="n">
        <v>121.209906</v>
      </c>
      <c r="I297" t="n">
        <v>8</v>
      </c>
      <c r="J297" t="n">
        <v>2</v>
      </c>
      <c r="K297" t="n">
        <v>314.5</v>
      </c>
      <c r="L297" t="inlineStr">
        <is>
          <t>Primary</t>
        </is>
      </c>
    </row>
    <row r="298">
      <c r="A298" t="n">
        <v>1</v>
      </c>
      <c r="B298" s="23" t="inlineStr">
        <is>
          <t>S03</t>
        </is>
      </c>
      <c r="C298" t="inlineStr">
        <is>
          <t>PZ-A</t>
        </is>
      </c>
      <c r="D298" t="n">
        <v>26</v>
      </c>
      <c r="E298" t="inlineStr">
        <is>
          <t>H0193</t>
        </is>
      </c>
      <c r="F298" t="inlineStr">
        <is>
          <t>桃園市大園區永園路二段183巷113號-附地標</t>
        </is>
      </c>
      <c r="G298" t="n">
        <v>25.019692</v>
      </c>
      <c r="H298" t="n">
        <v>121.208122</v>
      </c>
      <c r="I298" t="n">
        <v>8</v>
      </c>
      <c r="J298" t="n">
        <v>3</v>
      </c>
      <c r="K298" t="n">
        <v>325.5</v>
      </c>
      <c r="L298" t="inlineStr">
        <is>
          <t>Primary</t>
        </is>
      </c>
    </row>
    <row r="299">
      <c r="A299" t="n">
        <v>1</v>
      </c>
      <c r="B299" s="23" t="inlineStr">
        <is>
          <t>S03</t>
        </is>
      </c>
      <c r="C299" t="inlineStr">
        <is>
          <t>PZ-A</t>
        </is>
      </c>
      <c r="D299" t="n">
        <v>27</v>
      </c>
      <c r="E299" t="inlineStr">
        <is>
          <t>H0882</t>
        </is>
      </c>
      <c r="F299" t="inlineStr">
        <is>
          <t>桃園市蘆竹區(大園區)八股路224巷25°03'28.5"N 121°15'09.0"E</t>
        </is>
      </c>
      <c r="G299" t="n">
        <v>25.0201</v>
      </c>
      <c r="H299" t="n">
        <v>121.207897</v>
      </c>
      <c r="I299" t="n">
        <v>8</v>
      </c>
      <c r="J299" t="n">
        <v>2</v>
      </c>
      <c r="K299" t="n">
        <v>335.5</v>
      </c>
      <c r="L299" t="inlineStr">
        <is>
          <t>Primary</t>
        </is>
      </c>
    </row>
    <row r="300">
      <c r="A300" t="n">
        <v>1</v>
      </c>
      <c r="B300" s="23" t="inlineStr">
        <is>
          <t>S03</t>
        </is>
      </c>
      <c r="C300" t="inlineStr">
        <is>
          <t>PZ-A</t>
        </is>
      </c>
      <c r="D300" t="n">
        <v>28</v>
      </c>
      <c r="E300" t="inlineStr">
        <is>
          <t>H0198</t>
        </is>
      </c>
      <c r="F300" t="inlineStr">
        <is>
          <t>桃園市大園區永園路二段183巷25°01'15.9"N 121°12'31.1"E</t>
        </is>
      </c>
      <c r="G300" t="n">
        <v>25.020492</v>
      </c>
      <c r="H300" t="n">
        <v>121.208389</v>
      </c>
      <c r="I300" t="n">
        <v>8</v>
      </c>
      <c r="J300" t="n">
        <v>2</v>
      </c>
      <c r="K300" t="n">
        <v>345.5</v>
      </c>
      <c r="L300" t="inlineStr">
        <is>
          <t>Primary</t>
        </is>
      </c>
    </row>
    <row r="301">
      <c r="A301" t="n">
        <v>1</v>
      </c>
      <c r="B301" s="23" t="inlineStr">
        <is>
          <t>S03</t>
        </is>
      </c>
      <c r="C301" t="inlineStr">
        <is>
          <t>PZ-A</t>
        </is>
      </c>
      <c r="D301" t="n">
        <v>29</v>
      </c>
      <c r="E301" t="inlineStr">
        <is>
          <t>H0257</t>
        </is>
      </c>
      <c r="F301" t="inlineStr">
        <is>
          <t>桃園市大園區領航北路四段122號旁</t>
        </is>
      </c>
      <c r="G301" t="n">
        <v>25.023086</v>
      </c>
      <c r="H301" t="n">
        <v>121.216219</v>
      </c>
      <c r="I301" t="n">
        <v>8</v>
      </c>
      <c r="J301" t="n">
        <v>3</v>
      </c>
      <c r="K301" t="n">
        <v>356.5</v>
      </c>
      <c r="L301" t="inlineStr">
        <is>
          <t>Primary</t>
        </is>
      </c>
    </row>
    <row r="302">
      <c r="A302" t="n">
        <v>1</v>
      </c>
      <c r="B302" s="23" t="inlineStr">
        <is>
          <t>S03</t>
        </is>
      </c>
      <c r="C302" t="inlineStr">
        <is>
          <t>PZ-A</t>
        </is>
      </c>
      <c r="D302" t="n">
        <v>30</v>
      </c>
      <c r="E302" t="inlineStr">
        <is>
          <t>H0178</t>
        </is>
      </c>
      <c r="F302" t="inlineStr">
        <is>
          <t>桃園市大園區五福路256號旁工地</t>
        </is>
      </c>
      <c r="G302" t="n">
        <v>25.020053</v>
      </c>
      <c r="H302" t="n">
        <v>121.226489</v>
      </c>
      <c r="I302" t="n">
        <v>16</v>
      </c>
      <c r="J302" t="n">
        <v>3</v>
      </c>
      <c r="K302" t="n">
        <v>375.5</v>
      </c>
      <c r="L302" t="inlineStr">
        <is>
          <t>Primary</t>
        </is>
      </c>
    </row>
    <row r="303">
      <c r="A303" t="n">
        <v>1</v>
      </c>
      <c r="B303" s="23" t="inlineStr">
        <is>
          <t>S03</t>
        </is>
      </c>
      <c r="C303" t="inlineStr">
        <is>
          <t>PZ-A</t>
        </is>
      </c>
      <c r="D303" t="n">
        <v>31</v>
      </c>
      <c r="E303" t="inlineStr">
        <is>
          <t>H0175</t>
        </is>
      </c>
      <c r="F303" t="inlineStr">
        <is>
          <t>桃園市大園區五青路459巷83號</t>
        </is>
      </c>
      <c r="G303" t="n">
        <v>25.019131</v>
      </c>
      <c r="H303" t="n">
        <v>121.227823</v>
      </c>
      <c r="I303" t="n">
        <v>8</v>
      </c>
      <c r="J303" t="n">
        <v>3</v>
      </c>
      <c r="K303" t="n">
        <v>386.5</v>
      </c>
      <c r="L303" t="inlineStr">
        <is>
          <t>Primary</t>
        </is>
      </c>
    </row>
    <row r="304">
      <c r="A304" t="n">
        <v>1</v>
      </c>
      <c r="B304" s="23" t="inlineStr">
        <is>
          <t>S03</t>
        </is>
      </c>
      <c r="C304" t="inlineStr">
        <is>
          <t>PZ-A</t>
        </is>
      </c>
      <c r="D304" t="n">
        <v>32</v>
      </c>
      <c r="E304" t="inlineStr">
        <is>
          <t>H0204</t>
        </is>
      </c>
      <c r="F304" t="inlineStr">
        <is>
          <t>桃園市大園區合圳北路三段&amp;大新路交叉口</t>
        </is>
      </c>
      <c r="G304" t="n">
        <v>25.021528</v>
      </c>
      <c r="H304" t="n">
        <v>121.24013</v>
      </c>
      <c r="I304" t="n">
        <v>24</v>
      </c>
      <c r="J304" t="n">
        <v>3</v>
      </c>
      <c r="K304" t="n">
        <v>413.6</v>
      </c>
      <c r="L304" t="inlineStr">
        <is>
          <t>Primary</t>
        </is>
      </c>
    </row>
    <row r="305">
      <c r="A305" t="n">
        <v>1</v>
      </c>
      <c r="B305" s="23" t="inlineStr">
        <is>
          <t>S03</t>
        </is>
      </c>
      <c r="C305" t="inlineStr">
        <is>
          <t>PZ-A</t>
        </is>
      </c>
      <c r="D305" t="n">
        <v>33</v>
      </c>
      <c r="E305" t="inlineStr">
        <is>
          <t>H0205</t>
        </is>
      </c>
      <c r="F305" t="inlineStr">
        <is>
          <t>桃園市大園區合圳北路三段296號旁</t>
        </is>
      </c>
      <c r="G305" t="n">
        <v>25.015869</v>
      </c>
      <c r="H305" t="n">
        <v>121.244136</v>
      </c>
      <c r="I305" t="n">
        <v>8</v>
      </c>
      <c r="J305" t="n">
        <v>3</v>
      </c>
      <c r="K305" t="n">
        <v>424.6</v>
      </c>
      <c r="L305" t="inlineStr">
        <is>
          <t>Primary</t>
        </is>
      </c>
    </row>
    <row r="306">
      <c r="A306" t="n">
        <v>1</v>
      </c>
      <c r="B306" s="23" t="inlineStr">
        <is>
          <t>S03</t>
        </is>
      </c>
      <c r="C306" t="inlineStr">
        <is>
          <t>PZ-A</t>
        </is>
      </c>
      <c r="D306" t="n">
        <v>34</v>
      </c>
      <c r="E306" t="inlineStr">
        <is>
          <t>H0907</t>
        </is>
      </c>
      <c r="F306" t="inlineStr">
        <is>
          <t>桃園市蘆竹區大興路213號旁</t>
        </is>
      </c>
      <c r="G306" t="n">
        <v>25.019511</v>
      </c>
      <c r="H306" t="n">
        <v>121.255414</v>
      </c>
      <c r="I306" t="n">
        <v>8</v>
      </c>
      <c r="J306" t="n">
        <v>3</v>
      </c>
      <c r="K306" t="n">
        <v>435.6</v>
      </c>
      <c r="L306" t="inlineStr">
        <is>
          <t>Primary</t>
        </is>
      </c>
    </row>
    <row r="307">
      <c r="A307" t="n">
        <v>1</v>
      </c>
      <c r="B307" s="23" t="inlineStr">
        <is>
          <t>S03</t>
        </is>
      </c>
      <c r="C307" t="inlineStr">
        <is>
          <t>PZ-A</t>
        </is>
      </c>
      <c r="D307" t="n">
        <v>35</v>
      </c>
      <c r="E307" t="inlineStr">
        <is>
          <t>H0929</t>
        </is>
      </c>
      <c r="F307" t="inlineStr">
        <is>
          <t>桃園市蘆竹區光華街205號</t>
        </is>
      </c>
      <c r="G307" t="n">
        <v>25.032534</v>
      </c>
      <c r="H307" t="n">
        <v>121.252875</v>
      </c>
      <c r="I307" t="n">
        <v>8</v>
      </c>
      <c r="J307" t="n">
        <v>3.5</v>
      </c>
      <c r="K307" t="n">
        <v>447.1</v>
      </c>
      <c r="L307" t="inlineStr">
        <is>
          <t>Primary</t>
        </is>
      </c>
    </row>
    <row r="308">
      <c r="A308" t="n">
        <v>1</v>
      </c>
      <c r="B308" s="23" t="inlineStr">
        <is>
          <t>S03</t>
        </is>
      </c>
      <c r="C308" t="inlineStr">
        <is>
          <t>PZ-A</t>
        </is>
      </c>
      <c r="D308" t="n">
        <v>36</v>
      </c>
      <c r="E308" t="inlineStr">
        <is>
          <t>H0969</t>
        </is>
      </c>
      <c r="F308" t="inlineStr">
        <is>
          <t>桃園市蘆竹區新生路370號 對面</t>
        </is>
      </c>
      <c r="G308" t="n">
        <v>25.030781</v>
      </c>
      <c r="H308" t="n">
        <v>121.242352</v>
      </c>
      <c r="I308" t="n">
        <v>8</v>
      </c>
      <c r="J308" t="n">
        <v>3</v>
      </c>
      <c r="K308" t="n">
        <v>458.1</v>
      </c>
      <c r="L308" t="inlineStr">
        <is>
          <t>Primary</t>
        </is>
      </c>
    </row>
    <row r="309">
      <c r="A309" t="n">
        <v>1</v>
      </c>
      <c r="B309" s="23" t="inlineStr">
        <is>
          <t>S03</t>
        </is>
      </c>
      <c r="C309" t="inlineStr">
        <is>
          <t>PZ-A</t>
        </is>
      </c>
      <c r="D309" t="n">
        <v>37</v>
      </c>
      <c r="E309" t="inlineStr">
        <is>
          <t>H0966</t>
        </is>
      </c>
      <c r="F309" t="inlineStr">
        <is>
          <t>桃園市蘆竹區高鐵桃園站聯絡道-桃園蘆竹新莊公園</t>
        </is>
      </c>
      <c r="G309" t="n">
        <v>25.033472</v>
      </c>
      <c r="H309" t="n">
        <v>121.236164</v>
      </c>
      <c r="I309" t="n">
        <v>16</v>
      </c>
      <c r="J309" t="n">
        <v>3</v>
      </c>
      <c r="K309" t="n">
        <v>477.1</v>
      </c>
      <c r="L309" t="inlineStr">
        <is>
          <t>Primary</t>
        </is>
      </c>
    </row>
    <row r="310">
      <c r="A310" t="n">
        <v>1</v>
      </c>
      <c r="B310" s="23" t="inlineStr">
        <is>
          <t>S03</t>
        </is>
      </c>
      <c r="C310" t="inlineStr">
        <is>
          <t>PZ-A</t>
        </is>
      </c>
      <c r="D310" t="n">
        <v>38</v>
      </c>
      <c r="E310" t="inlineStr">
        <is>
          <t>H0168</t>
        </is>
      </c>
      <c r="F310" t="inlineStr">
        <is>
          <t>桃園市大園區中正東路二段108號</t>
        </is>
      </c>
      <c r="G310" t="n">
        <v>25.034389</v>
      </c>
      <c r="H310" t="n">
        <v>121.230223</v>
      </c>
      <c r="I310" t="n">
        <v>16</v>
      </c>
      <c r="J310" t="n">
        <v>3</v>
      </c>
      <c r="K310" t="n">
        <v>496.1</v>
      </c>
      <c r="L310" t="inlineStr">
        <is>
          <t>Primary</t>
        </is>
      </c>
    </row>
    <row r="311">
      <c r="A311" t="n">
        <v>1</v>
      </c>
      <c r="B311" s="23" t="inlineStr">
        <is>
          <t>S03</t>
        </is>
      </c>
      <c r="C311" t="inlineStr">
        <is>
          <t>PZ-A</t>
        </is>
      </c>
      <c r="D311" t="n">
        <v>39</v>
      </c>
      <c r="E311" t="inlineStr">
        <is>
          <t>H0169</t>
        </is>
      </c>
      <c r="F311" t="inlineStr">
        <is>
          <t>桃園市大園區中正東路二段108號-大園衝劃區-附地標</t>
        </is>
      </c>
      <c r="G311" t="n">
        <v>25.033927</v>
      </c>
      <c r="H311" t="n">
        <v>121.229506</v>
      </c>
      <c r="I311" t="n">
        <v>8</v>
      </c>
      <c r="J311" t="n">
        <v>2</v>
      </c>
      <c r="K311" t="n">
        <v>506.1</v>
      </c>
      <c r="L311" t="inlineStr">
        <is>
          <t>Primary</t>
        </is>
      </c>
    </row>
    <row r="312">
      <c r="A312" t="n">
        <v>1</v>
      </c>
      <c r="B312" s="23" t="inlineStr">
        <is>
          <t>S03</t>
        </is>
      </c>
      <c r="C312" t="inlineStr">
        <is>
          <t>PZ-A</t>
        </is>
      </c>
      <c r="D312" t="n">
        <v>40</v>
      </c>
      <c r="E312" t="inlineStr">
        <is>
          <t>H0151</t>
        </is>
      </c>
      <c r="F312" t="inlineStr">
        <is>
          <t>桃園市大園區中正東路2段108號對面</t>
        </is>
      </c>
      <c r="G312" t="n">
        <v>25.033519</v>
      </c>
      <c r="H312" t="n">
        <v>121.22952</v>
      </c>
      <c r="I312" t="n">
        <v>8</v>
      </c>
      <c r="J312" t="n">
        <v>2</v>
      </c>
      <c r="K312" t="n">
        <v>516.1</v>
      </c>
      <c r="L312" t="inlineStr">
        <is>
          <t>Primary</t>
        </is>
      </c>
    </row>
    <row r="313">
      <c r="A313" t="n">
        <v>2</v>
      </c>
      <c r="B313" s="23" t="inlineStr">
        <is>
          <t>S03</t>
        </is>
      </c>
      <c r="C313" t="inlineStr">
        <is>
          <t>PZ-A</t>
        </is>
      </c>
      <c r="D313" t="n">
        <v>1</v>
      </c>
      <c r="E313" t="inlineStr">
        <is>
          <t>H0594</t>
        </is>
      </c>
      <c r="F313" t="inlineStr">
        <is>
          <t>桃園市桃園區延壽街60號</t>
        </is>
      </c>
      <c r="G313" t="n">
        <v>24.992816</v>
      </c>
      <c r="H313" t="n">
        <v>121.292661</v>
      </c>
      <c r="I313" t="n">
        <v>8</v>
      </c>
      <c r="J313" t="n">
        <v>11.6</v>
      </c>
      <c r="K313" t="n">
        <v>19.6</v>
      </c>
      <c r="L313" t="inlineStr">
        <is>
          <t>Primary</t>
        </is>
      </c>
    </row>
    <row r="314">
      <c r="A314" t="n">
        <v>2</v>
      </c>
      <c r="B314" s="23" t="inlineStr">
        <is>
          <t>S03</t>
        </is>
      </c>
      <c r="C314" t="inlineStr">
        <is>
          <t>PZ-A</t>
        </is>
      </c>
      <c r="D314" t="n">
        <v>2</v>
      </c>
      <c r="E314" t="inlineStr">
        <is>
          <t>H0557</t>
        </is>
      </c>
      <c r="F314" t="inlineStr">
        <is>
          <t>桃園市桃園區力行路698號對面</t>
        </is>
      </c>
      <c r="G314" t="n">
        <v>24.998339</v>
      </c>
      <c r="H314" t="n">
        <v>121.290577</v>
      </c>
      <c r="I314" t="n">
        <v>8</v>
      </c>
      <c r="J314" t="n">
        <v>3</v>
      </c>
      <c r="K314" t="n">
        <v>30.6</v>
      </c>
      <c r="L314" t="inlineStr">
        <is>
          <t>Primary</t>
        </is>
      </c>
    </row>
    <row r="315">
      <c r="A315" t="n">
        <v>2</v>
      </c>
      <c r="B315" s="23" t="inlineStr">
        <is>
          <t>S03</t>
        </is>
      </c>
      <c r="C315" t="inlineStr">
        <is>
          <t>PZ-A</t>
        </is>
      </c>
      <c r="D315" t="n">
        <v>3</v>
      </c>
      <c r="E315" t="inlineStr">
        <is>
          <t>H0588</t>
        </is>
      </c>
      <c r="F315" t="inlineStr">
        <is>
          <t>桃園市桃園區吉安街102號-追加</t>
        </is>
      </c>
      <c r="G315" t="n">
        <v>25.004492</v>
      </c>
      <c r="H315" t="n">
        <v>121.291408</v>
      </c>
      <c r="I315" t="n">
        <v>8</v>
      </c>
      <c r="J315" t="n">
        <v>3</v>
      </c>
      <c r="K315" t="n">
        <v>41.6</v>
      </c>
      <c r="L315" t="inlineStr">
        <is>
          <t>Primary</t>
        </is>
      </c>
    </row>
    <row r="316">
      <c r="A316" t="n">
        <v>2</v>
      </c>
      <c r="B316" s="23" t="inlineStr">
        <is>
          <t>S03</t>
        </is>
      </c>
      <c r="C316" t="inlineStr">
        <is>
          <t>PZ-A</t>
        </is>
      </c>
      <c r="D316" t="n">
        <v>4</v>
      </c>
      <c r="E316" t="inlineStr">
        <is>
          <t>H0583</t>
        </is>
      </c>
      <c r="F316" t="inlineStr">
        <is>
          <t>桃園市桃園區吉安街102號-A棟17F</t>
        </is>
      </c>
      <c r="G316" t="n">
        <v>25.004597</v>
      </c>
      <c r="H316" t="n">
        <v>121.291591</v>
      </c>
      <c r="I316" t="n">
        <v>22</v>
      </c>
      <c r="J316" t="n">
        <v>2</v>
      </c>
      <c r="K316" t="n">
        <v>65.59999999999999</v>
      </c>
      <c r="L316" t="inlineStr">
        <is>
          <t>Primary</t>
        </is>
      </c>
    </row>
    <row r="317">
      <c r="A317" t="n">
        <v>2</v>
      </c>
      <c r="B317" s="23" t="inlineStr">
        <is>
          <t>S03</t>
        </is>
      </c>
      <c r="C317" t="inlineStr">
        <is>
          <t>PZ-A</t>
        </is>
      </c>
      <c r="D317" t="n">
        <v>5</v>
      </c>
      <c r="E317" t="inlineStr">
        <is>
          <t>H0586</t>
        </is>
      </c>
      <c r="F317" t="inlineStr">
        <is>
          <t>桃園市桃園區吉安街102號-B棟17F</t>
        </is>
      </c>
      <c r="G317" t="n">
        <v>25.004597</v>
      </c>
      <c r="H317" t="n">
        <v>121.291591</v>
      </c>
      <c r="I317" t="n">
        <v>22</v>
      </c>
      <c r="J317" t="n">
        <v>2</v>
      </c>
      <c r="K317" t="n">
        <v>89.59999999999999</v>
      </c>
      <c r="L317" t="inlineStr">
        <is>
          <t>Primary</t>
        </is>
      </c>
    </row>
    <row r="318">
      <c r="A318" t="n">
        <v>2</v>
      </c>
      <c r="B318" s="23" t="inlineStr">
        <is>
          <t>S03</t>
        </is>
      </c>
      <c r="C318" t="inlineStr">
        <is>
          <t>PZ-A</t>
        </is>
      </c>
      <c r="D318" t="n">
        <v>6</v>
      </c>
      <c r="E318" t="inlineStr">
        <is>
          <t>H0585</t>
        </is>
      </c>
      <c r="F318" t="inlineStr">
        <is>
          <t>桃園市桃園區吉安街102號-B棟</t>
        </is>
      </c>
      <c r="G318" t="n">
        <v>25.0048015</v>
      </c>
      <c r="H318" t="n">
        <v>121.2915055</v>
      </c>
      <c r="I318" t="n">
        <v>40</v>
      </c>
      <c r="J318" t="n">
        <v>2</v>
      </c>
      <c r="K318" t="n">
        <v>131.6</v>
      </c>
      <c r="L318" t="inlineStr">
        <is>
          <t>Primary</t>
        </is>
      </c>
    </row>
    <row r="319">
      <c r="A319" t="n">
        <v>2</v>
      </c>
      <c r="B319" s="23" t="inlineStr">
        <is>
          <t>S03</t>
        </is>
      </c>
      <c r="C319" t="inlineStr">
        <is>
          <t>PZ-A</t>
        </is>
      </c>
      <c r="D319" t="n">
        <v>7</v>
      </c>
      <c r="E319" t="inlineStr">
        <is>
          <t>H0584</t>
        </is>
      </c>
      <c r="F319" t="inlineStr">
        <is>
          <t>桃園市桃園區吉安街102號-A棟21樓</t>
        </is>
      </c>
      <c r="G319" t="n">
        <v>25.005483</v>
      </c>
      <c r="H319" t="n">
        <v>121.29093</v>
      </c>
      <c r="I319" t="n">
        <v>22</v>
      </c>
      <c r="J319" t="n">
        <v>2</v>
      </c>
      <c r="K319" t="n">
        <v>155.6</v>
      </c>
      <c r="L319" t="inlineStr">
        <is>
          <t>Primary</t>
        </is>
      </c>
    </row>
    <row r="320">
      <c r="A320" t="n">
        <v>2</v>
      </c>
      <c r="B320" s="23" t="inlineStr">
        <is>
          <t>S03</t>
        </is>
      </c>
      <c r="C320" t="inlineStr">
        <is>
          <t>PZ-A</t>
        </is>
      </c>
      <c r="D320" t="n">
        <v>8</v>
      </c>
      <c r="E320" t="inlineStr">
        <is>
          <t>H0580</t>
        </is>
      </c>
      <c r="F320" t="inlineStr">
        <is>
          <t>桃園市桃園區永順街83巷2號</t>
        </is>
      </c>
      <c r="G320" t="n">
        <v>25.008281</v>
      </c>
      <c r="H320" t="n">
        <v>121.296175</v>
      </c>
      <c r="I320" t="n">
        <v>8</v>
      </c>
      <c r="J320" t="n">
        <v>3</v>
      </c>
      <c r="K320" t="n">
        <v>166.6</v>
      </c>
      <c r="L320" t="inlineStr">
        <is>
          <t>Primary</t>
        </is>
      </c>
    </row>
    <row r="321">
      <c r="A321" t="n">
        <v>2</v>
      </c>
      <c r="B321" s="23" t="inlineStr">
        <is>
          <t>S03</t>
        </is>
      </c>
      <c r="C321" t="inlineStr">
        <is>
          <t>PZ-A</t>
        </is>
      </c>
      <c r="D321" t="n">
        <v>9</v>
      </c>
      <c r="E321" t="inlineStr">
        <is>
          <t>H0590</t>
        </is>
      </c>
      <c r="F321" t="inlineStr">
        <is>
          <t>桃園市桃園區同德五街272號對面</t>
        </is>
      </c>
      <c r="G321" t="n">
        <v>25.012325</v>
      </c>
      <c r="H321" t="n">
        <v>121.294966</v>
      </c>
      <c r="I321" t="n">
        <v>8</v>
      </c>
      <c r="J321" t="n">
        <v>3</v>
      </c>
      <c r="K321" t="n">
        <v>177.6</v>
      </c>
      <c r="L321" t="inlineStr">
        <is>
          <t>Primary</t>
        </is>
      </c>
    </row>
    <row r="322">
      <c r="A322" t="n">
        <v>2</v>
      </c>
      <c r="B322" s="23" t="inlineStr">
        <is>
          <t>S03</t>
        </is>
      </c>
      <c r="C322" t="inlineStr">
        <is>
          <t>PZ-A</t>
        </is>
      </c>
      <c r="D322" t="n">
        <v>10</v>
      </c>
      <c r="E322" t="inlineStr">
        <is>
          <t>H0065</t>
        </is>
      </c>
      <c r="F322" t="inlineStr">
        <is>
          <t>桃園市大園區三民路２段957號(三民料場帳棚旁)(24號.32號))</t>
        </is>
      </c>
      <c r="G322" t="n">
        <v>25.0381</v>
      </c>
      <c r="H322" t="n">
        <v>121.281614</v>
      </c>
      <c r="I322" t="n">
        <v>32</v>
      </c>
      <c r="J322" t="n">
        <v>7.6</v>
      </c>
      <c r="K322" t="n">
        <v>217.2</v>
      </c>
      <c r="L322" t="inlineStr">
        <is>
          <t>Primary</t>
        </is>
      </c>
    </row>
    <row r="323">
      <c r="A323" t="n">
        <v>2</v>
      </c>
      <c r="B323" s="23" t="inlineStr">
        <is>
          <t>S03</t>
        </is>
      </c>
      <c r="C323" t="inlineStr">
        <is>
          <t>PZ-A</t>
        </is>
      </c>
      <c r="D323" t="n">
        <v>11</v>
      </c>
      <c r="E323" t="inlineStr">
        <is>
          <t>H0063</t>
        </is>
      </c>
      <c r="F323" t="inlineStr">
        <is>
          <t>桃園市大園區?林18-19-捷運工地(36號)</t>
        </is>
      </c>
      <c r="G323" t="n">
        <v>25.0419226</v>
      </c>
      <c r="H323" t="n">
        <v>121.2857273</v>
      </c>
      <c r="I323" t="n">
        <v>16</v>
      </c>
      <c r="J323" t="n">
        <v>3</v>
      </c>
      <c r="K323" t="n">
        <v>236.2</v>
      </c>
      <c r="L323" t="inlineStr">
        <is>
          <t>Primary</t>
        </is>
      </c>
    </row>
    <row r="324">
      <c r="A324" t="n">
        <v>2</v>
      </c>
      <c r="B324" s="23" t="inlineStr">
        <is>
          <t>S03</t>
        </is>
      </c>
      <c r="C324" t="inlineStr">
        <is>
          <t>PZ-A</t>
        </is>
      </c>
      <c r="D324" t="n">
        <v>12</v>
      </c>
      <c r="E324" t="inlineStr">
        <is>
          <t>H0923</t>
        </is>
      </c>
      <c r="F324" t="inlineStr">
        <is>
          <t>桃園市蘆竹區中正北路與南竹路二段交叉口捷運工程工地-電聯定位</t>
        </is>
      </c>
      <c r="G324" t="n">
        <v>25.0419226</v>
      </c>
      <c r="H324" t="n">
        <v>121.2857273</v>
      </c>
      <c r="I324" t="n">
        <v>16</v>
      </c>
      <c r="J324" t="n">
        <v>2</v>
      </c>
      <c r="K324" t="n">
        <v>254.2</v>
      </c>
      <c r="L324" t="inlineStr">
        <is>
          <t>Primary</t>
        </is>
      </c>
    </row>
    <row r="325">
      <c r="A325" t="n">
        <v>2</v>
      </c>
      <c r="B325" s="23" t="inlineStr">
        <is>
          <t>S03</t>
        </is>
      </c>
      <c r="C325" t="inlineStr">
        <is>
          <t>PZ-A</t>
        </is>
      </c>
      <c r="D325" t="n">
        <v>13</v>
      </c>
      <c r="E325" t="inlineStr">
        <is>
          <t>H0924</t>
        </is>
      </c>
      <c r="F325" t="inlineStr">
        <is>
          <t>桃園市蘆竹區中正路109巷40號旁</t>
        </is>
      </c>
      <c r="G325" t="n">
        <v>25.043436</v>
      </c>
      <c r="H325" t="n">
        <v>121.293202</v>
      </c>
      <c r="I325" t="n">
        <v>8</v>
      </c>
      <c r="J325" t="n">
        <v>3</v>
      </c>
      <c r="K325" t="n">
        <v>265.2</v>
      </c>
      <c r="L325" t="inlineStr">
        <is>
          <t>Primary</t>
        </is>
      </c>
    </row>
    <row r="326">
      <c r="A326" t="n">
        <v>2</v>
      </c>
      <c r="B326" s="23" t="inlineStr">
        <is>
          <t>S03</t>
        </is>
      </c>
      <c r="C326" t="inlineStr">
        <is>
          <t>PZ-A</t>
        </is>
      </c>
      <c r="D326" t="n">
        <v>14</v>
      </c>
      <c r="E326" t="inlineStr">
        <is>
          <t>H0925</t>
        </is>
      </c>
      <c r="F326" t="inlineStr">
        <is>
          <t>桃園市蘆竹區中正路86巷36號-南崁常老教會</t>
        </is>
      </c>
      <c r="G326" t="n">
        <v>25.046433</v>
      </c>
      <c r="H326" t="n">
        <v>121.293283</v>
      </c>
      <c r="I326" t="n">
        <v>8</v>
      </c>
      <c r="J326" t="n">
        <v>3</v>
      </c>
      <c r="K326" t="n">
        <v>276.2</v>
      </c>
      <c r="L326" t="inlineStr">
        <is>
          <t>Primary</t>
        </is>
      </c>
    </row>
    <row r="327">
      <c r="A327" t="n">
        <v>2</v>
      </c>
      <c r="B327" s="23" t="inlineStr">
        <is>
          <t>S03</t>
        </is>
      </c>
      <c r="C327" t="inlineStr">
        <is>
          <t>PZ-A</t>
        </is>
      </c>
      <c r="D327" t="n">
        <v>15</v>
      </c>
      <c r="E327" t="inlineStr">
        <is>
          <t>H0835</t>
        </is>
      </c>
      <c r="F327" t="inlineStr">
        <is>
          <t>桃園市龜山區(蘆竹區)南上路280巷</t>
        </is>
      </c>
      <c r="G327" t="n">
        <v>25.04515</v>
      </c>
      <c r="H327" t="n">
        <v>121.301147</v>
      </c>
      <c r="I327" t="n">
        <v>24</v>
      </c>
      <c r="J327" t="n">
        <v>3</v>
      </c>
      <c r="K327" t="n">
        <v>303.2</v>
      </c>
      <c r="L327" t="inlineStr">
        <is>
          <t>Primary</t>
        </is>
      </c>
    </row>
    <row r="328">
      <c r="A328" t="n">
        <v>2</v>
      </c>
      <c r="B328" s="23" t="inlineStr">
        <is>
          <t>S03</t>
        </is>
      </c>
      <c r="C328" t="inlineStr">
        <is>
          <t>PZ-A</t>
        </is>
      </c>
      <c r="D328" t="n">
        <v>16</v>
      </c>
      <c r="E328" t="inlineStr">
        <is>
          <t>H0869</t>
        </is>
      </c>
      <c r="F328" t="inlineStr">
        <is>
          <t>桃園市龜山區南上路446號</t>
        </is>
      </c>
      <c r="G328" t="n">
        <v>25.04485</v>
      </c>
      <c r="H328" t="n">
        <v>121.305669</v>
      </c>
      <c r="I328" t="n">
        <v>32</v>
      </c>
      <c r="J328" t="n">
        <v>3</v>
      </c>
      <c r="K328" t="n">
        <v>338.2</v>
      </c>
      <c r="L328" t="inlineStr">
        <is>
          <t>Primary</t>
        </is>
      </c>
    </row>
    <row r="329">
      <c r="A329" t="n">
        <v>2</v>
      </c>
      <c r="B329" s="23" t="inlineStr">
        <is>
          <t>S03</t>
        </is>
      </c>
      <c r="C329" t="inlineStr">
        <is>
          <t>PZ-A</t>
        </is>
      </c>
      <c r="D329" t="n">
        <v>17</v>
      </c>
      <c r="E329" t="inlineStr">
        <is>
          <t>H0870</t>
        </is>
      </c>
      <c r="F329" t="inlineStr">
        <is>
          <t>桃園市龜山區南上路566巷36號旁</t>
        </is>
      </c>
      <c r="G329" t="n">
        <v>25.043914</v>
      </c>
      <c r="H329" t="n">
        <v>121.308547</v>
      </c>
      <c r="I329" t="n">
        <v>8</v>
      </c>
      <c r="J329" t="n">
        <v>3</v>
      </c>
      <c r="K329" t="n">
        <v>349.2</v>
      </c>
      <c r="L329" t="inlineStr">
        <is>
          <t>Primary</t>
        </is>
      </c>
    </row>
    <row r="330">
      <c r="A330" t="n">
        <v>2</v>
      </c>
      <c r="B330" s="23" t="inlineStr">
        <is>
          <t>S03</t>
        </is>
      </c>
      <c r="C330" t="inlineStr">
        <is>
          <t>PZ-A</t>
        </is>
      </c>
      <c r="D330" t="n">
        <v>18</v>
      </c>
      <c r="E330" t="inlineStr">
        <is>
          <t>H0926</t>
        </is>
      </c>
      <c r="F330" t="inlineStr">
        <is>
          <t>桃園市蘆竹區仁愛路三段9號</t>
        </is>
      </c>
      <c r="G330" t="n">
        <v>25.053769</v>
      </c>
      <c r="H330" t="n">
        <v>121.300781</v>
      </c>
      <c r="I330" t="n">
        <v>8</v>
      </c>
      <c r="J330" t="n">
        <v>3.2</v>
      </c>
      <c r="K330" t="n">
        <v>360.5</v>
      </c>
      <c r="L330" t="inlineStr">
        <is>
          <t>Primary</t>
        </is>
      </c>
    </row>
    <row r="331">
      <c r="A331" t="n">
        <v>2</v>
      </c>
      <c r="B331" s="23" t="inlineStr">
        <is>
          <t>S03</t>
        </is>
      </c>
      <c r="C331" t="inlineStr">
        <is>
          <t>PZ-A</t>
        </is>
      </c>
      <c r="D331" t="n">
        <v>19</v>
      </c>
      <c r="E331" t="inlineStr">
        <is>
          <t>H0928</t>
        </is>
      </c>
      <c r="F331" t="inlineStr">
        <is>
          <t>桃園市蘆竹區六福路155號</t>
        </is>
      </c>
      <c r="G331" t="n">
        <v>25.0588</v>
      </c>
      <c r="H331" t="n">
        <v>121.294158</v>
      </c>
      <c r="I331" t="n">
        <v>8</v>
      </c>
      <c r="J331" t="n">
        <v>3</v>
      </c>
      <c r="K331" t="n">
        <v>371.5</v>
      </c>
      <c r="L331" t="inlineStr">
        <is>
          <t>Primary</t>
        </is>
      </c>
    </row>
    <row r="332">
      <c r="A332" t="n">
        <v>2</v>
      </c>
      <c r="B332" s="23" t="inlineStr">
        <is>
          <t>S03</t>
        </is>
      </c>
      <c r="C332" t="inlineStr">
        <is>
          <t>PZ-A</t>
        </is>
      </c>
      <c r="D332" t="n">
        <v>20</v>
      </c>
      <c r="E332" t="inlineStr">
        <is>
          <t>H0941</t>
        </is>
      </c>
      <c r="F332" t="inlineStr">
        <is>
          <t>桃園市蘆竹區長興路一段10號對面</t>
        </is>
      </c>
      <c r="G332" t="n">
        <v>25.0594255</v>
      </c>
      <c r="H332" t="n">
        <v>121.2941492</v>
      </c>
      <c r="I332" t="n">
        <v>32</v>
      </c>
      <c r="J332" t="n">
        <v>2</v>
      </c>
      <c r="K332" t="n">
        <v>405.5</v>
      </c>
      <c r="L332" t="inlineStr">
        <is>
          <t>Primary</t>
        </is>
      </c>
    </row>
    <row r="333">
      <c r="A333" t="n">
        <v>2</v>
      </c>
      <c r="B333" s="23" t="inlineStr">
        <is>
          <t>S03</t>
        </is>
      </c>
      <c r="C333" t="inlineStr">
        <is>
          <t>PZ-A</t>
        </is>
      </c>
      <c r="D333" t="n">
        <v>21</v>
      </c>
      <c r="E333" t="inlineStr">
        <is>
          <t>H0941</t>
        </is>
      </c>
      <c r="F333" t="inlineStr">
        <is>
          <t>桃園市蘆竹區長興路一段10號對面</t>
        </is>
      </c>
      <c r="G333" t="n">
        <v>25.059461</v>
      </c>
      <c r="H333" t="n">
        <v>121.293961</v>
      </c>
      <c r="I333" t="n">
        <v>32</v>
      </c>
      <c r="J333" t="n">
        <v>2</v>
      </c>
      <c r="K333" t="n">
        <v>439.5</v>
      </c>
      <c r="L333" t="inlineStr">
        <is>
          <t>Primary</t>
        </is>
      </c>
    </row>
    <row r="334">
      <c r="A334" t="n">
        <v>2</v>
      </c>
      <c r="B334" s="23" t="inlineStr">
        <is>
          <t>S03</t>
        </is>
      </c>
      <c r="C334" t="inlineStr">
        <is>
          <t>PZ-A</t>
        </is>
      </c>
      <c r="D334" t="n">
        <v>22</v>
      </c>
      <c r="E334" t="inlineStr">
        <is>
          <t>H0944</t>
        </is>
      </c>
      <c r="F334" t="inlineStr">
        <is>
          <t>桃園市蘆竹區南山路１段391號</t>
        </is>
      </c>
      <c r="G334" t="n">
        <v>25.060331</v>
      </c>
      <c r="H334" t="n">
        <v>121.288433</v>
      </c>
      <c r="I334" t="n">
        <v>8</v>
      </c>
      <c r="J334" t="n">
        <v>3</v>
      </c>
      <c r="K334" t="n">
        <v>450.5</v>
      </c>
      <c r="L334" t="inlineStr">
        <is>
          <t>Primary</t>
        </is>
      </c>
    </row>
    <row r="335">
      <c r="A335" t="n">
        <v>2</v>
      </c>
      <c r="B335" s="23" t="inlineStr">
        <is>
          <t>S03</t>
        </is>
      </c>
      <c r="C335" t="inlineStr">
        <is>
          <t>PZ-A</t>
        </is>
      </c>
      <c r="D335" t="n">
        <v>23</v>
      </c>
      <c r="E335" t="inlineStr">
        <is>
          <t>H0971</t>
        </is>
      </c>
      <c r="F335" t="inlineStr">
        <is>
          <t>桃園市蘆竹區榮安路8號旁</t>
        </is>
      </c>
      <c r="G335" t="n">
        <v>25.060144</v>
      </c>
      <c r="H335" t="n">
        <v>121.284216</v>
      </c>
      <c r="I335" t="n">
        <v>48</v>
      </c>
      <c r="J335" t="n">
        <v>3</v>
      </c>
      <c r="K335" t="n">
        <v>501.5</v>
      </c>
      <c r="L335" t="inlineStr">
        <is>
          <t>Primary</t>
        </is>
      </c>
    </row>
    <row r="336">
      <c r="A336" t="n">
        <v>2</v>
      </c>
      <c r="B336" s="23" t="inlineStr">
        <is>
          <t>S03</t>
        </is>
      </c>
      <c r="C336" t="inlineStr">
        <is>
          <t>PZ-A</t>
        </is>
      </c>
      <c r="D336" t="n">
        <v>24</v>
      </c>
      <c r="E336" t="inlineStr">
        <is>
          <t>H0949</t>
        </is>
      </c>
      <c r="F336" t="inlineStr">
        <is>
          <t>桃園市蘆竹區南工路二段500號</t>
        </is>
      </c>
      <c r="G336" t="n">
        <v>25.054261</v>
      </c>
      <c r="H336" t="n">
        <v>121.273195</v>
      </c>
      <c r="I336" t="n">
        <v>8</v>
      </c>
      <c r="J336" t="n">
        <v>3.1</v>
      </c>
      <c r="K336" t="n">
        <v>512.6</v>
      </c>
      <c r="L336" t="inlineStr">
        <is>
          <t>Primary</t>
        </is>
      </c>
    </row>
    <row r="337">
      <c r="A337" t="n">
        <v>2</v>
      </c>
      <c r="B337" s="23" t="inlineStr">
        <is>
          <t>S03</t>
        </is>
      </c>
      <c r="C337" t="inlineStr">
        <is>
          <t>PZ-A</t>
        </is>
      </c>
      <c r="D337" t="n">
        <v>25</v>
      </c>
      <c r="E337" t="inlineStr">
        <is>
          <t>H0948</t>
        </is>
      </c>
      <c r="F337" t="inlineStr">
        <is>
          <t>桃園市蘆竹區南工路72號旁</t>
        </is>
      </c>
      <c r="G337" t="n">
        <v>25.054172</v>
      </c>
      <c r="H337" t="n">
        <v>121.272709</v>
      </c>
      <c r="I337" t="n">
        <v>8</v>
      </c>
      <c r="J337" t="n">
        <v>2</v>
      </c>
      <c r="K337" t="n">
        <v>522.6</v>
      </c>
      <c r="L337" t="inlineStr">
        <is>
          <t>Primary</t>
        </is>
      </c>
    </row>
    <row r="338">
      <c r="A338" t="n">
        <v>3</v>
      </c>
      <c r="B338" s="23" t="inlineStr">
        <is>
          <t>S03</t>
        </is>
      </c>
      <c r="C338" t="inlineStr">
        <is>
          <t>PZ-A</t>
        </is>
      </c>
      <c r="D338" t="n">
        <v>1</v>
      </c>
      <c r="E338" t="inlineStr">
        <is>
          <t>H0177</t>
        </is>
      </c>
      <c r="F338" t="inlineStr">
        <is>
          <t>桃園市大園區五結路</t>
        </is>
      </c>
      <c r="G338" t="n">
        <v>25.032481</v>
      </c>
      <c r="H338" t="n">
        <v>121.228242</v>
      </c>
      <c r="I338" t="n">
        <v>8</v>
      </c>
      <c r="J338" t="n">
        <v>14</v>
      </c>
      <c r="K338" t="n">
        <v>22</v>
      </c>
      <c r="L338" t="inlineStr">
        <is>
          <t>Primary</t>
        </is>
      </c>
    </row>
    <row r="339">
      <c r="A339" t="n">
        <v>3</v>
      </c>
      <c r="B339" s="23" t="inlineStr">
        <is>
          <t>S03</t>
        </is>
      </c>
      <c r="C339" t="inlineStr">
        <is>
          <t>PZ-A</t>
        </is>
      </c>
      <c r="D339" t="n">
        <v>2</v>
      </c>
      <c r="E339" t="inlineStr">
        <is>
          <t>H0171</t>
        </is>
      </c>
      <c r="F339" t="inlineStr">
        <is>
          <t>桃園市大園區中正東路二段99號附近-五結段22號-航空城</t>
        </is>
      </c>
      <c r="G339" t="n">
        <v>25.033214</v>
      </c>
      <c r="H339" t="n">
        <v>121.228759</v>
      </c>
      <c r="I339" t="n">
        <v>8</v>
      </c>
      <c r="J339" t="n">
        <v>2</v>
      </c>
      <c r="K339" t="n">
        <v>32</v>
      </c>
      <c r="L339" t="inlineStr">
        <is>
          <t>Primary</t>
        </is>
      </c>
    </row>
    <row r="340">
      <c r="A340" t="n">
        <v>3</v>
      </c>
      <c r="B340" s="23" t="inlineStr">
        <is>
          <t>S03</t>
        </is>
      </c>
      <c r="C340" t="inlineStr">
        <is>
          <t>PZ-A</t>
        </is>
      </c>
      <c r="D340" t="n">
        <v>3</v>
      </c>
      <c r="E340" t="inlineStr">
        <is>
          <t>H0149</t>
        </is>
      </c>
      <c r="F340" t="inlineStr">
        <is>
          <t>桃園市大園區中正東路1段438號-帶定位</t>
        </is>
      </c>
      <c r="G340" t="n">
        <v>25.043527</v>
      </c>
      <c r="H340" t="n">
        <v>121.224367</v>
      </c>
      <c r="I340" t="n">
        <v>8</v>
      </c>
      <c r="J340" t="n">
        <v>3</v>
      </c>
      <c r="K340" t="n">
        <v>43</v>
      </c>
      <c r="L340" t="inlineStr">
        <is>
          <t>Primary</t>
        </is>
      </c>
    </row>
    <row r="341">
      <c r="A341" t="n">
        <v>3</v>
      </c>
      <c r="B341" s="23" t="inlineStr">
        <is>
          <t>S03</t>
        </is>
      </c>
      <c r="C341" t="inlineStr">
        <is>
          <t>PZ-A</t>
        </is>
      </c>
      <c r="D341" t="n">
        <v>4</v>
      </c>
      <c r="E341" t="inlineStr">
        <is>
          <t>H0227</t>
        </is>
      </c>
      <c r="F341" t="inlineStr">
        <is>
          <t>桃園市大園區埔心里</t>
        </is>
      </c>
      <c r="G341" t="n">
        <v>25.046552</v>
      </c>
      <c r="H341" t="n">
        <v>121.22595</v>
      </c>
      <c r="I341" t="n">
        <v>8</v>
      </c>
      <c r="J341" t="n">
        <v>3</v>
      </c>
      <c r="K341" t="n">
        <v>54</v>
      </c>
      <c r="L341" t="inlineStr">
        <is>
          <t>Primary</t>
        </is>
      </c>
    </row>
    <row r="342">
      <c r="A342" t="n">
        <v>3</v>
      </c>
      <c r="B342" s="23" t="inlineStr">
        <is>
          <t>S03</t>
        </is>
      </c>
      <c r="C342" t="inlineStr">
        <is>
          <t>PZ-A</t>
        </is>
      </c>
      <c r="D342" t="n">
        <v>5</v>
      </c>
      <c r="E342" t="inlineStr">
        <is>
          <t>H0167</t>
        </is>
      </c>
      <c r="F342" t="inlineStr">
        <is>
          <t>桃園市大園區中正東路一段-大園重劃區-橫埔段222地號-附地標</t>
        </is>
      </c>
      <c r="G342" t="n">
        <v>25.047114</v>
      </c>
      <c r="H342" t="n">
        <v>121.225084</v>
      </c>
      <c r="I342" t="n">
        <v>8</v>
      </c>
      <c r="J342" t="n">
        <v>3</v>
      </c>
      <c r="K342" t="n">
        <v>65</v>
      </c>
      <c r="L342" t="inlineStr">
        <is>
          <t>Primary</t>
        </is>
      </c>
    </row>
    <row r="343">
      <c r="A343" t="n">
        <v>3</v>
      </c>
      <c r="B343" s="23" t="inlineStr">
        <is>
          <t>S03</t>
        </is>
      </c>
      <c r="C343" t="inlineStr">
        <is>
          <t>PZ-A</t>
        </is>
      </c>
      <c r="D343" t="n">
        <v>6</v>
      </c>
      <c r="E343" t="inlineStr">
        <is>
          <t>H0158</t>
        </is>
      </c>
      <c r="F343" t="inlineStr">
        <is>
          <t>桃園市大園區中正東路一段189巷35號-埔心國小附近-大園重劃區</t>
        </is>
      </c>
      <c r="G343" t="n">
        <v>25.047866</v>
      </c>
      <c r="H343" t="n">
        <v>121.22532</v>
      </c>
      <c r="I343" t="n">
        <v>8</v>
      </c>
      <c r="J343" t="n">
        <v>2</v>
      </c>
      <c r="K343" t="n">
        <v>75</v>
      </c>
      <c r="L343" t="inlineStr">
        <is>
          <t>Primary</t>
        </is>
      </c>
    </row>
    <row r="344">
      <c r="A344" t="n">
        <v>3</v>
      </c>
      <c r="B344" s="23" t="inlineStr">
        <is>
          <t>S03</t>
        </is>
      </c>
      <c r="C344" t="inlineStr">
        <is>
          <t>PZ-A</t>
        </is>
      </c>
      <c r="D344" t="n">
        <v>7</v>
      </c>
      <c r="E344" t="inlineStr">
        <is>
          <t>H0166</t>
        </is>
      </c>
      <c r="F344" t="inlineStr">
        <is>
          <t>桃園市大園區中正東路一段35號埔心國小旁-大園重劃區-電聯定位</t>
        </is>
      </c>
      <c r="G344" t="n">
        <v>25.048469</v>
      </c>
      <c r="H344" t="n">
        <v>121.224445</v>
      </c>
      <c r="I344" t="n">
        <v>8</v>
      </c>
      <c r="J344" t="n">
        <v>3</v>
      </c>
      <c r="K344" t="n">
        <v>86</v>
      </c>
      <c r="L344" t="inlineStr">
        <is>
          <t>Primary</t>
        </is>
      </c>
    </row>
    <row r="345">
      <c r="A345" t="n">
        <v>3</v>
      </c>
      <c r="B345" s="23" t="inlineStr">
        <is>
          <t>S03</t>
        </is>
      </c>
      <c r="C345" t="inlineStr">
        <is>
          <t>PZ-A</t>
        </is>
      </c>
      <c r="D345" t="n">
        <v>8</v>
      </c>
      <c r="E345" t="inlineStr">
        <is>
          <t>H0159</t>
        </is>
      </c>
      <c r="F345" t="inlineStr">
        <is>
          <t>桃園市大園區中正東路一段189巷35號埔心國小旁工地-大園重劃區</t>
        </is>
      </c>
      <c r="G345" t="n">
        <v>25.049533</v>
      </c>
      <c r="H345" t="n">
        <v>121.226939</v>
      </c>
      <c r="I345" t="n">
        <v>8</v>
      </c>
      <c r="J345" t="n">
        <v>3</v>
      </c>
      <c r="K345" t="n">
        <v>97</v>
      </c>
      <c r="L345" t="inlineStr">
        <is>
          <t>Primary</t>
        </is>
      </c>
    </row>
    <row r="346">
      <c r="A346" t="n">
        <v>3</v>
      </c>
      <c r="B346" s="23" t="inlineStr">
        <is>
          <t>S03</t>
        </is>
      </c>
      <c r="C346" t="inlineStr">
        <is>
          <t>PZ-A</t>
        </is>
      </c>
      <c r="D346" t="n">
        <v>9</v>
      </c>
      <c r="E346" t="inlineStr">
        <is>
          <t>H0157</t>
        </is>
      </c>
      <c r="F346" t="inlineStr">
        <is>
          <t>桃園市大園區中正東路一段189巷35號-埔心國小附近</t>
        </is>
      </c>
      <c r="G346" t="n">
        <v>25.049591</v>
      </c>
      <c r="H346" t="n">
        <v>121.227156</v>
      </c>
      <c r="I346" t="n">
        <v>8</v>
      </c>
      <c r="J346" t="n">
        <v>2</v>
      </c>
      <c r="K346" t="n">
        <v>107</v>
      </c>
      <c r="L346" t="inlineStr">
        <is>
          <t>Primary</t>
        </is>
      </c>
    </row>
    <row r="347">
      <c r="A347" t="n">
        <v>3</v>
      </c>
      <c r="B347" s="23" t="inlineStr">
        <is>
          <t>S03</t>
        </is>
      </c>
      <c r="C347" t="inlineStr">
        <is>
          <t>PZ-A</t>
        </is>
      </c>
      <c r="D347" t="n">
        <v>10</v>
      </c>
      <c r="E347" t="inlineStr">
        <is>
          <t>H0155</t>
        </is>
      </c>
      <c r="F347" t="inlineStr">
        <is>
          <t>桃園市大園區中正東路一段189巷143號-大園重劃區-附地標</t>
        </is>
      </c>
      <c r="G347" t="n">
        <v>25.049489</v>
      </c>
      <c r="H347" t="n">
        <v>121.228025</v>
      </c>
      <c r="I347" t="n">
        <v>8</v>
      </c>
      <c r="J347" t="n">
        <v>2</v>
      </c>
      <c r="K347" t="n">
        <v>117</v>
      </c>
      <c r="L347" t="inlineStr">
        <is>
          <t>Primary</t>
        </is>
      </c>
    </row>
    <row r="348">
      <c r="A348" t="n">
        <v>3</v>
      </c>
      <c r="B348" s="23" t="inlineStr">
        <is>
          <t>S03</t>
        </is>
      </c>
      <c r="C348" t="inlineStr">
        <is>
          <t>PZ-A</t>
        </is>
      </c>
      <c r="D348" t="n">
        <v>11</v>
      </c>
      <c r="E348" t="inlineStr">
        <is>
          <t>H0123</t>
        </is>
      </c>
      <c r="F348" t="inlineStr">
        <is>
          <t>桃園市大園區大海路附近-福海段227.228地號-附地標</t>
        </is>
      </c>
      <c r="G348" t="n">
        <v>25.049436</v>
      </c>
      <c r="H348" t="n">
        <v>121.229848</v>
      </c>
      <c r="I348" t="n">
        <v>8</v>
      </c>
      <c r="J348" t="n">
        <v>3</v>
      </c>
      <c r="K348" t="n">
        <v>128</v>
      </c>
      <c r="L348" t="inlineStr">
        <is>
          <t>Primary</t>
        </is>
      </c>
    </row>
    <row r="349">
      <c r="A349" t="n">
        <v>3</v>
      </c>
      <c r="B349" s="23" t="inlineStr">
        <is>
          <t>S03</t>
        </is>
      </c>
      <c r="C349" t="inlineStr">
        <is>
          <t>PZ-A</t>
        </is>
      </c>
      <c r="D349" t="n">
        <v>12</v>
      </c>
      <c r="E349" t="inlineStr">
        <is>
          <t>H0228</t>
        </is>
      </c>
      <c r="F349" t="inlineStr">
        <is>
          <t>桃園市大園區埔心里-大園福隆宮旁工地-附地標-電聯定位</t>
        </is>
      </c>
      <c r="G349" t="n">
        <v>25.0528</v>
      </c>
      <c r="H349" t="n">
        <v>121.226598</v>
      </c>
      <c r="I349" t="n">
        <v>8</v>
      </c>
      <c r="J349" t="n">
        <v>3</v>
      </c>
      <c r="K349" t="n">
        <v>139</v>
      </c>
      <c r="L349" t="inlineStr">
        <is>
          <t>Primary</t>
        </is>
      </c>
    </row>
    <row r="350">
      <c r="A350" t="n">
        <v>3</v>
      </c>
      <c r="B350" s="23" t="inlineStr">
        <is>
          <t>S03</t>
        </is>
      </c>
      <c r="C350" t="inlineStr">
        <is>
          <t>PZ-A</t>
        </is>
      </c>
      <c r="D350" t="n">
        <v>13</v>
      </c>
      <c r="E350" t="inlineStr">
        <is>
          <t>H0231</t>
        </is>
      </c>
      <c r="F350" t="inlineStr">
        <is>
          <t>桃園市大園區埔心街33-7號</t>
        </is>
      </c>
      <c r="G350" t="n">
        <v>25.055375</v>
      </c>
      <c r="H350" t="n">
        <v>121.224625</v>
      </c>
      <c r="I350" t="n">
        <v>16</v>
      </c>
      <c r="J350" t="n">
        <v>3</v>
      </c>
      <c r="K350" t="n">
        <v>158</v>
      </c>
      <c r="L350" t="inlineStr">
        <is>
          <t>Primary</t>
        </is>
      </c>
    </row>
    <row r="351">
      <c r="A351" t="n">
        <v>3</v>
      </c>
      <c r="B351" s="23" t="inlineStr">
        <is>
          <t>S03</t>
        </is>
      </c>
      <c r="C351" t="inlineStr">
        <is>
          <t>PZ-A</t>
        </is>
      </c>
      <c r="D351" t="n">
        <v>14</v>
      </c>
      <c r="E351" t="inlineStr">
        <is>
          <t>H0238</t>
        </is>
      </c>
      <c r="F351" t="inlineStr">
        <is>
          <t>桃園市大園區海豐坡--近第三航廈咖啡附座標</t>
        </is>
      </c>
      <c r="G351" t="n">
        <v>25.058867</v>
      </c>
      <c r="H351" t="n">
        <v>121.216047</v>
      </c>
      <c r="I351" t="n">
        <v>8</v>
      </c>
      <c r="J351" t="n">
        <v>3</v>
      </c>
      <c r="K351" t="n">
        <v>169</v>
      </c>
      <c r="L351" t="inlineStr">
        <is>
          <t>Primary</t>
        </is>
      </c>
    </row>
    <row r="352">
      <c r="A352" t="n">
        <v>3</v>
      </c>
      <c r="B352" s="23" t="inlineStr">
        <is>
          <t>S03</t>
        </is>
      </c>
      <c r="C352" t="inlineStr">
        <is>
          <t>PZ-A</t>
        </is>
      </c>
      <c r="D352" t="n">
        <v>15</v>
      </c>
      <c r="E352" t="inlineStr">
        <is>
          <t>H0263</t>
        </is>
      </c>
      <c r="F352" t="inlineStr">
        <is>
          <t>桃園市大園區橫湳一路50號(A15捷運站附近)</t>
        </is>
      </c>
      <c r="G352" t="n">
        <v>25.055514</v>
      </c>
      <c r="H352" t="n">
        <v>121.210556</v>
      </c>
      <c r="I352" t="n">
        <v>8</v>
      </c>
      <c r="J352" t="n">
        <v>3</v>
      </c>
      <c r="K352" t="n">
        <v>180</v>
      </c>
      <c r="L352" t="inlineStr">
        <is>
          <t>Primary</t>
        </is>
      </c>
    </row>
    <row r="353">
      <c r="A353" t="n">
        <v>3</v>
      </c>
      <c r="B353" s="23" t="inlineStr">
        <is>
          <t>S03</t>
        </is>
      </c>
      <c r="C353" t="inlineStr">
        <is>
          <t>PZ-A</t>
        </is>
      </c>
      <c r="D353" t="n">
        <v>16</v>
      </c>
      <c r="E353" t="inlineStr">
        <is>
          <t>H0188</t>
        </is>
      </c>
      <c r="F353" t="inlineStr">
        <is>
          <t>桃園市大園區平安路64巷23弄46號旁工地-電聯林先生</t>
        </is>
      </c>
      <c r="G353" t="n">
        <v>25.062758</v>
      </c>
      <c r="H353" t="n">
        <v>121.209772</v>
      </c>
      <c r="I353" t="n">
        <v>8</v>
      </c>
      <c r="J353" t="n">
        <v>3</v>
      </c>
      <c r="K353" t="n">
        <v>191</v>
      </c>
      <c r="L353" t="inlineStr">
        <is>
          <t>Primary</t>
        </is>
      </c>
    </row>
    <row r="354">
      <c r="A354" t="n">
        <v>3</v>
      </c>
      <c r="B354" s="23" t="inlineStr">
        <is>
          <t>S03</t>
        </is>
      </c>
      <c r="C354" t="inlineStr">
        <is>
          <t>PZ-A</t>
        </is>
      </c>
      <c r="D354" t="n">
        <v>17</v>
      </c>
      <c r="E354" t="inlineStr">
        <is>
          <t>H0187</t>
        </is>
      </c>
      <c r="F354" t="inlineStr">
        <is>
          <t>桃園市大園區平安路177號旁停車場</t>
        </is>
      </c>
      <c r="G354" t="n">
        <v>25.0638</v>
      </c>
      <c r="H354" t="n">
        <v>121.206911</v>
      </c>
      <c r="I354" t="n">
        <v>8</v>
      </c>
      <c r="J354" t="n">
        <v>3</v>
      </c>
      <c r="K354" t="n">
        <v>202</v>
      </c>
      <c r="L354" t="inlineStr">
        <is>
          <t>Primary</t>
        </is>
      </c>
    </row>
    <row r="355">
      <c r="A355" t="n">
        <v>3</v>
      </c>
      <c r="B355" s="23" t="inlineStr">
        <is>
          <t>S03</t>
        </is>
      </c>
      <c r="C355" t="inlineStr">
        <is>
          <t>PZ-A</t>
        </is>
      </c>
      <c r="D355" t="n">
        <v>18</v>
      </c>
      <c r="E355" t="inlineStr">
        <is>
          <t>H0247</t>
        </is>
      </c>
      <c r="F355" t="inlineStr">
        <is>
          <t>桃園市大園區國際路一段645號-附座標R3(12-1)</t>
        </is>
      </c>
      <c r="G355" t="n">
        <v>25.066153</v>
      </c>
      <c r="H355" t="n">
        <v>121.214008</v>
      </c>
      <c r="I355" t="n">
        <v>16</v>
      </c>
      <c r="J355" t="n">
        <v>3</v>
      </c>
      <c r="K355" t="n">
        <v>221</v>
      </c>
      <c r="L355" t="inlineStr">
        <is>
          <t>Primary</t>
        </is>
      </c>
    </row>
    <row r="356">
      <c r="A356" t="n">
        <v>3</v>
      </c>
      <c r="B356" s="23" t="inlineStr">
        <is>
          <t>S03</t>
        </is>
      </c>
      <c r="C356" t="inlineStr">
        <is>
          <t>PZ-A</t>
        </is>
      </c>
      <c r="D356" t="n">
        <v>19</v>
      </c>
      <c r="E356" t="inlineStr">
        <is>
          <t>H0241</t>
        </is>
      </c>
      <c r="F356" t="inlineStr">
        <is>
          <t>桃園市大園區航站北路25°04'00.4"N 121°13'04.0"E</t>
        </is>
      </c>
      <c r="G356" t="n">
        <v>25.066806</v>
      </c>
      <c r="H356" t="n">
        <v>121.217973</v>
      </c>
      <c r="I356" t="n">
        <v>8</v>
      </c>
      <c r="J356" t="n">
        <v>3</v>
      </c>
      <c r="K356" t="n">
        <v>232</v>
      </c>
      <c r="L356" t="inlineStr">
        <is>
          <t>Primary</t>
        </is>
      </c>
    </row>
    <row r="357">
      <c r="A357" t="n">
        <v>3</v>
      </c>
      <c r="B357" s="23" t="inlineStr">
        <is>
          <t>S03</t>
        </is>
      </c>
      <c r="C357" t="inlineStr">
        <is>
          <t>PZ-A</t>
        </is>
      </c>
      <c r="D357" t="n">
        <v>20</v>
      </c>
      <c r="E357" t="inlineStr">
        <is>
          <t>H0250</t>
        </is>
      </c>
      <c r="F357" t="inlineStr">
        <is>
          <t>桃園市大園區第三航廈外(大園區航站北路608號)</t>
        </is>
      </c>
      <c r="G357" t="n">
        <v>25.069978</v>
      </c>
      <c r="H357" t="n">
        <v>121.220103</v>
      </c>
      <c r="I357" t="n">
        <v>96</v>
      </c>
      <c r="J357" t="n">
        <v>3</v>
      </c>
      <c r="K357" t="n">
        <v>331</v>
      </c>
      <c r="L357" t="inlineStr">
        <is>
          <t>Primary</t>
        </is>
      </c>
    </row>
    <row r="358">
      <c r="A358" t="n">
        <v>3</v>
      </c>
      <c r="B358" s="23" t="inlineStr">
        <is>
          <t>S03</t>
        </is>
      </c>
      <c r="C358" t="inlineStr">
        <is>
          <t>PZ-A</t>
        </is>
      </c>
      <c r="D358" t="n">
        <v>21</v>
      </c>
      <c r="E358" t="inlineStr">
        <is>
          <t>H0172</t>
        </is>
      </c>
      <c r="F358" t="inlineStr">
        <is>
          <t>桃園市大園區中華路318號附近</t>
        </is>
      </c>
      <c r="G358" t="n">
        <v>25.072109</v>
      </c>
      <c r="H358" t="n">
        <v>121.206744</v>
      </c>
      <c r="I358" t="n">
        <v>32</v>
      </c>
      <c r="J358" t="n">
        <v>3.3</v>
      </c>
      <c r="K358" t="n">
        <v>366.3</v>
      </c>
      <c r="L358" t="inlineStr">
        <is>
          <t>Primary</t>
        </is>
      </c>
    </row>
    <row r="359">
      <c r="A359" t="n">
        <v>3</v>
      </c>
      <c r="B359" s="23" t="inlineStr">
        <is>
          <t>S03</t>
        </is>
      </c>
      <c r="C359" t="inlineStr">
        <is>
          <t>PZ-A</t>
        </is>
      </c>
      <c r="D359" t="n">
        <v>22</v>
      </c>
      <c r="E359" t="inlineStr">
        <is>
          <t>H0207</t>
        </is>
      </c>
      <c r="F359" t="inlineStr">
        <is>
          <t>桃園市大園區圳頭路-25°04'28.2"N 121°12'18.5"E</t>
        </is>
      </c>
      <c r="G359" t="n">
        <v>25.07205</v>
      </c>
      <c r="H359" t="n">
        <v>121.206661</v>
      </c>
      <c r="I359" t="n">
        <v>16</v>
      </c>
      <c r="J359" t="n">
        <v>2</v>
      </c>
      <c r="K359" t="n">
        <v>384.3</v>
      </c>
      <c r="L359" t="inlineStr">
        <is>
          <t>Primary</t>
        </is>
      </c>
    </row>
    <row r="360">
      <c r="A360" t="n">
        <v>3</v>
      </c>
      <c r="B360" s="23" t="inlineStr">
        <is>
          <t>S03</t>
        </is>
      </c>
      <c r="C360" t="inlineStr">
        <is>
          <t>PZ-A</t>
        </is>
      </c>
      <c r="D360" t="n">
        <v>23</v>
      </c>
      <c r="E360" t="inlineStr">
        <is>
          <t>H0206</t>
        </is>
      </c>
      <c r="F360" t="inlineStr">
        <is>
          <t>桃園市大園區圳頭村5鄰27-2號附近-附座標R3</t>
        </is>
      </c>
      <c r="G360" t="n">
        <v>25.072531</v>
      </c>
      <c r="H360" t="n">
        <v>121.206506</v>
      </c>
      <c r="I360" t="n">
        <v>16</v>
      </c>
      <c r="J360" t="n">
        <v>2</v>
      </c>
      <c r="K360" t="n">
        <v>402.3</v>
      </c>
      <c r="L360" t="inlineStr">
        <is>
          <t>Primary</t>
        </is>
      </c>
    </row>
    <row r="361">
      <c r="A361" t="n">
        <v>3</v>
      </c>
      <c r="B361" s="23" t="inlineStr">
        <is>
          <t>S03</t>
        </is>
      </c>
      <c r="C361" t="inlineStr">
        <is>
          <t>PZ-A</t>
        </is>
      </c>
      <c r="D361" t="n">
        <v>24</v>
      </c>
      <c r="E361" t="inlineStr">
        <is>
          <t>H0248</t>
        </is>
      </c>
      <c r="F361" t="inlineStr">
        <is>
          <t>桃園市大園區國際路二段-25°05'14.5"N 121°13'40.5"E</t>
        </is>
      </c>
      <c r="G361" t="n">
        <v>25.074914</v>
      </c>
      <c r="H361" t="n">
        <v>121.204736</v>
      </c>
      <c r="I361" t="n">
        <v>16</v>
      </c>
      <c r="J361" t="n">
        <v>3</v>
      </c>
      <c r="K361" t="n">
        <v>421.3</v>
      </c>
      <c r="L361" t="inlineStr">
        <is>
          <t>Primary</t>
        </is>
      </c>
    </row>
    <row r="362">
      <c r="A362" t="n">
        <v>3</v>
      </c>
      <c r="B362" s="23" t="inlineStr">
        <is>
          <t>S03</t>
        </is>
      </c>
      <c r="C362" t="inlineStr">
        <is>
          <t>PZ-A</t>
        </is>
      </c>
      <c r="D362" t="n">
        <v>25</v>
      </c>
      <c r="E362" t="inlineStr">
        <is>
          <t>H0246</t>
        </is>
      </c>
      <c r="F362" t="inlineStr">
        <is>
          <t>桃園市大園區國際路1段182號(屈臣氏物流中心旁)</t>
        </is>
      </c>
      <c r="G362" t="n">
        <v>25.067678</v>
      </c>
      <c r="H362" t="n">
        <v>121.190102</v>
      </c>
      <c r="I362" t="n">
        <v>8</v>
      </c>
      <c r="J362" t="n">
        <v>4</v>
      </c>
      <c r="K362" t="n">
        <v>433.3</v>
      </c>
      <c r="L362" t="inlineStr">
        <is>
          <t>Primary</t>
        </is>
      </c>
    </row>
    <row r="363">
      <c r="A363" t="n">
        <v>3</v>
      </c>
      <c r="B363" s="23" t="inlineStr">
        <is>
          <t>S03</t>
        </is>
      </c>
      <c r="C363" t="inlineStr">
        <is>
          <t>PZ-A</t>
        </is>
      </c>
      <c r="D363" t="n">
        <v>26</v>
      </c>
      <c r="E363" t="inlineStr">
        <is>
          <t>H0270</t>
        </is>
      </c>
      <c r="F363" t="inlineStr">
        <is>
          <t>桃園市大園區環區北路&amp;大觀路交叉口</t>
        </is>
      </c>
      <c r="G363" t="n">
        <v>25.062544</v>
      </c>
      <c r="H363" t="n">
        <v>121.177509</v>
      </c>
      <c r="I363" t="n">
        <v>16</v>
      </c>
      <c r="J363" t="n">
        <v>3.3</v>
      </c>
      <c r="K363" t="n">
        <v>452.6</v>
      </c>
      <c r="L363" t="inlineStr">
        <is>
          <t>Primary</t>
        </is>
      </c>
    </row>
    <row r="364">
      <c r="A364" t="n">
        <v>3</v>
      </c>
      <c r="B364" s="23" t="inlineStr">
        <is>
          <t>S03</t>
        </is>
      </c>
      <c r="C364" t="inlineStr">
        <is>
          <t>PZ-A</t>
        </is>
      </c>
      <c r="D364" t="n">
        <v>27</v>
      </c>
      <c r="E364" t="inlineStr">
        <is>
          <t>H0133</t>
        </is>
      </c>
      <c r="F364" t="inlineStr">
        <is>
          <t>桃園市大園區大觀路624巷&amp;園航路交叉-夜市</t>
        </is>
      </c>
      <c r="G364" t="n">
        <v>25.0618119</v>
      </c>
      <c r="H364" t="n">
        <v>121.1750658</v>
      </c>
      <c r="I364" t="n">
        <v>48</v>
      </c>
      <c r="J364" t="n">
        <v>3</v>
      </c>
      <c r="K364" t="n">
        <v>503.6</v>
      </c>
      <c r="L364" t="inlineStr">
        <is>
          <t>Primary</t>
        </is>
      </c>
    </row>
    <row r="365">
      <c r="A365" t="n">
        <v>3</v>
      </c>
      <c r="B365" s="23" t="inlineStr">
        <is>
          <t>S03</t>
        </is>
      </c>
      <c r="C365" t="inlineStr">
        <is>
          <t>PZ-A</t>
        </is>
      </c>
      <c r="D365" t="n">
        <v>28</v>
      </c>
      <c r="E365" t="inlineStr">
        <is>
          <t>H0259</t>
        </is>
      </c>
      <c r="F365" t="inlineStr">
        <is>
          <t>桃園市大園區潮音路一段20號旁-自行定位</t>
        </is>
      </c>
      <c r="G365" t="n">
        <v>25.062139</v>
      </c>
      <c r="H365" t="n">
        <v>121.173625</v>
      </c>
      <c r="I365" t="n">
        <v>8</v>
      </c>
      <c r="J365" t="n">
        <v>3</v>
      </c>
      <c r="K365" t="n">
        <v>514.6</v>
      </c>
      <c r="L365" t="inlineStr">
        <is>
          <t>Primary</t>
        </is>
      </c>
    </row>
    <row r="366">
      <c r="A366" t="n">
        <v>4</v>
      </c>
      <c r="B366" s="23" t="inlineStr">
        <is>
          <t>S03</t>
        </is>
      </c>
      <c r="C366" t="inlineStr">
        <is>
          <t>PZ-A</t>
        </is>
      </c>
      <c r="D366" t="n">
        <v>1</v>
      </c>
      <c r="E366" t="inlineStr">
        <is>
          <t>H0978</t>
        </is>
      </c>
      <c r="F366" t="inlineStr">
        <is>
          <t>桃園市觀音區(大園區)廣大路1016巷65弄36號</t>
        </is>
      </c>
      <c r="G366" t="n">
        <v>25.041297</v>
      </c>
      <c r="H366" t="n">
        <v>121.161581</v>
      </c>
      <c r="I366" t="n">
        <v>8</v>
      </c>
      <c r="J366" t="n">
        <v>16.3</v>
      </c>
      <c r="K366" t="n">
        <v>24.3</v>
      </c>
      <c r="L366" t="inlineStr">
        <is>
          <t>Primary</t>
        </is>
      </c>
    </row>
    <row r="367">
      <c r="A367" t="n">
        <v>4</v>
      </c>
      <c r="B367" s="23" t="inlineStr">
        <is>
          <t>S03</t>
        </is>
      </c>
      <c r="C367" t="inlineStr">
        <is>
          <t>PZ-A</t>
        </is>
      </c>
      <c r="D367" t="n">
        <v>2</v>
      </c>
      <c r="E367" t="inlineStr">
        <is>
          <t>H0260</t>
        </is>
      </c>
      <c r="F367" t="inlineStr">
        <is>
          <t>桃園市大園區學十三街-上順建築附近</t>
        </is>
      </c>
      <c r="G367" t="n">
        <v>25.045736</v>
      </c>
      <c r="H367" t="n">
        <v>121.170039</v>
      </c>
      <c r="I367" t="n">
        <v>32</v>
      </c>
      <c r="J367" t="n">
        <v>3</v>
      </c>
      <c r="K367" t="n">
        <v>59.3</v>
      </c>
      <c r="L367" t="inlineStr">
        <is>
          <t>Primary</t>
        </is>
      </c>
    </row>
    <row r="368">
      <c r="A368" t="n">
        <v>4</v>
      </c>
      <c r="B368" s="23" t="inlineStr">
        <is>
          <t>S03</t>
        </is>
      </c>
      <c r="C368" t="inlineStr">
        <is>
          <t>PZ-A</t>
        </is>
      </c>
      <c r="D368" t="n">
        <v>3</v>
      </c>
      <c r="E368" t="inlineStr">
        <is>
          <t>H0271</t>
        </is>
      </c>
      <c r="F368" t="inlineStr">
        <is>
          <t>桃園市大園區環區西路&amp;科八街</t>
        </is>
      </c>
      <c r="G368" t="n">
        <v>25.052958</v>
      </c>
      <c r="H368" t="n">
        <v>121.167056</v>
      </c>
      <c r="I368" t="n">
        <v>8</v>
      </c>
      <c r="J368" t="n">
        <v>3</v>
      </c>
      <c r="K368" t="n">
        <v>70.3</v>
      </c>
      <c r="L368" t="inlineStr">
        <is>
          <t>Primary</t>
        </is>
      </c>
    </row>
    <row r="369">
      <c r="A369" t="n">
        <v>4</v>
      </c>
      <c r="B369" s="23" t="inlineStr">
        <is>
          <t>S03</t>
        </is>
      </c>
      <c r="C369" t="inlineStr">
        <is>
          <t>PZ-A</t>
        </is>
      </c>
      <c r="D369" t="n">
        <v>4</v>
      </c>
      <c r="E369" t="inlineStr">
        <is>
          <t>H0132</t>
        </is>
      </c>
      <c r="F369" t="inlineStr">
        <is>
          <t>桃園市大園區大觀路&amp;園科路交叉-璟都麗緻接待中心旁</t>
        </is>
      </c>
      <c r="G369" t="n">
        <v>25.0592934</v>
      </c>
      <c r="H369" t="n">
        <v>121.1712956</v>
      </c>
      <c r="I369" t="n">
        <v>40</v>
      </c>
      <c r="J369" t="n">
        <v>3</v>
      </c>
      <c r="K369" t="n">
        <v>113.3</v>
      </c>
      <c r="L369" t="inlineStr">
        <is>
          <t>Primary</t>
        </is>
      </c>
    </row>
    <row r="370">
      <c r="A370" t="n">
        <v>4</v>
      </c>
      <c r="B370" s="23" t="inlineStr">
        <is>
          <t>S03</t>
        </is>
      </c>
      <c r="C370" t="inlineStr">
        <is>
          <t>PZ-A</t>
        </is>
      </c>
      <c r="D370" t="n">
        <v>5</v>
      </c>
      <c r="E370" t="inlineStr">
        <is>
          <t>H0189</t>
        </is>
      </c>
      <c r="F370" t="inlineStr">
        <is>
          <t>桃園市大園區民生路335號附近</t>
        </is>
      </c>
      <c r="G370" t="n">
        <v>25.085764</v>
      </c>
      <c r="H370" t="n">
        <v>121.179192</v>
      </c>
      <c r="I370" t="n">
        <v>8</v>
      </c>
      <c r="J370" t="n">
        <v>7.3</v>
      </c>
      <c r="K370" t="n">
        <v>128.7</v>
      </c>
      <c r="L370" t="inlineStr">
        <is>
          <t>Primary</t>
        </is>
      </c>
    </row>
    <row r="371">
      <c r="A371" t="n">
        <v>4</v>
      </c>
      <c r="B371" s="23" t="inlineStr">
        <is>
          <t>S03</t>
        </is>
      </c>
      <c r="C371" t="inlineStr">
        <is>
          <t>PZ-A</t>
        </is>
      </c>
      <c r="D371" t="n">
        <v>6</v>
      </c>
      <c r="E371" t="inlineStr">
        <is>
          <t>H0184</t>
        </is>
      </c>
      <c r="F371" t="inlineStr">
        <is>
          <t>桃園市大園區古亭路92巷旁</t>
        </is>
      </c>
      <c r="G371" t="n">
        <v>25.088744</v>
      </c>
      <c r="H371" t="n">
        <v>121.197747</v>
      </c>
      <c r="I371" t="n">
        <v>8</v>
      </c>
      <c r="J371" t="n">
        <v>4.6</v>
      </c>
      <c r="K371" t="n">
        <v>141.2</v>
      </c>
      <c r="L371" t="inlineStr">
        <is>
          <t>Primary</t>
        </is>
      </c>
    </row>
    <row r="372">
      <c r="A372" t="n">
        <v>4</v>
      </c>
      <c r="B372" s="23" t="inlineStr">
        <is>
          <t>S03</t>
        </is>
      </c>
      <c r="C372" t="inlineStr">
        <is>
          <t>PZ-A</t>
        </is>
      </c>
      <c r="D372" t="n">
        <v>7</v>
      </c>
      <c r="E372" t="inlineStr">
        <is>
          <t>H0269</t>
        </is>
      </c>
      <c r="F372" t="inlineStr">
        <is>
          <t>桃園市大園區濱海路2段151號</t>
        </is>
      </c>
      <c r="G372" t="n">
        <v>25.093366</v>
      </c>
      <c r="H372" t="n">
        <v>121.204714</v>
      </c>
      <c r="I372" t="n">
        <v>8</v>
      </c>
      <c r="J372" t="n">
        <v>3</v>
      </c>
      <c r="K372" t="n">
        <v>152.2</v>
      </c>
      <c r="L372" t="inlineStr">
        <is>
          <t>Primary</t>
        </is>
      </c>
    </row>
    <row r="373">
      <c r="A373" t="n">
        <v>4</v>
      </c>
      <c r="B373" s="23" t="inlineStr">
        <is>
          <t>S03</t>
        </is>
      </c>
      <c r="C373" t="inlineStr">
        <is>
          <t>PZ-A</t>
        </is>
      </c>
      <c r="D373" t="n">
        <v>8</v>
      </c>
      <c r="E373" t="inlineStr">
        <is>
          <t>H0212</t>
        </is>
      </c>
      <c r="F373" t="inlineStr">
        <is>
          <t>桃園市大園區沙園路38號-台灣歐德國際物流中心</t>
        </is>
      </c>
      <c r="G373" t="n">
        <v>25.097425</v>
      </c>
      <c r="H373" t="n">
        <v>121.20495</v>
      </c>
      <c r="I373" t="n">
        <v>32</v>
      </c>
      <c r="J373" t="n">
        <v>3</v>
      </c>
      <c r="K373" t="n">
        <v>187.2</v>
      </c>
      <c r="L373" t="inlineStr">
        <is>
          <t>Primary</t>
        </is>
      </c>
    </row>
    <row r="374">
      <c r="A374" t="n">
        <v>4</v>
      </c>
      <c r="B374" s="23" t="inlineStr">
        <is>
          <t>S03</t>
        </is>
      </c>
      <c r="C374" t="inlineStr">
        <is>
          <t>PZ-A</t>
        </is>
      </c>
      <c r="D374" t="n">
        <v>9</v>
      </c>
      <c r="E374" t="inlineStr">
        <is>
          <t>H0214</t>
        </is>
      </c>
      <c r="F374" t="inlineStr">
        <is>
          <t>桃園市大園區沙園路-附座標(東煒建設-1)-3F</t>
        </is>
      </c>
      <c r="G374" t="n">
        <v>25.099611</v>
      </c>
      <c r="H374" t="n">
        <v>121.208417</v>
      </c>
      <c r="I374" t="n">
        <v>12</v>
      </c>
      <c r="J374" t="n">
        <v>3</v>
      </c>
      <c r="K374" t="n">
        <v>202.2</v>
      </c>
      <c r="L374" t="inlineStr">
        <is>
          <t>Primary</t>
        </is>
      </c>
    </row>
    <row r="375">
      <c r="A375" t="n">
        <v>4</v>
      </c>
      <c r="B375" s="23" t="inlineStr">
        <is>
          <t>S03</t>
        </is>
      </c>
      <c r="C375" t="inlineStr">
        <is>
          <t>PZ-A</t>
        </is>
      </c>
      <c r="D375" t="n">
        <v>10</v>
      </c>
      <c r="E375" t="inlineStr">
        <is>
          <t>H0213</t>
        </is>
      </c>
      <c r="F375" t="inlineStr">
        <is>
          <t>桃園市大園區沙園路-附座標(東煒建設-1)</t>
        </is>
      </c>
      <c r="G375" t="n">
        <v>25.0997025</v>
      </c>
      <c r="H375" t="n">
        <v>121.2089865</v>
      </c>
      <c r="I375" t="n">
        <v>20</v>
      </c>
      <c r="J375" t="n">
        <v>2</v>
      </c>
      <c r="K375" t="n">
        <v>224.2</v>
      </c>
      <c r="L375" t="inlineStr">
        <is>
          <t>Primary</t>
        </is>
      </c>
    </row>
    <row r="376">
      <c r="A376" t="n">
        <v>4</v>
      </c>
      <c r="B376" s="23" t="inlineStr">
        <is>
          <t>S03</t>
        </is>
      </c>
      <c r="C376" t="inlineStr">
        <is>
          <t>PZ-A</t>
        </is>
      </c>
      <c r="D376" t="n">
        <v>11</v>
      </c>
      <c r="E376" t="inlineStr">
        <is>
          <t>H0215</t>
        </is>
      </c>
      <c r="F376" t="inlineStr">
        <is>
          <t>桃園市大園區沙園路-附座標(東煒建設-2)</t>
        </is>
      </c>
      <c r="G376" t="n">
        <v>25.101369</v>
      </c>
      <c r="H376" t="n">
        <v>121.208539</v>
      </c>
      <c r="I376" t="n">
        <v>8</v>
      </c>
      <c r="J376" t="n">
        <v>3</v>
      </c>
      <c r="K376" t="n">
        <v>235.2</v>
      </c>
      <c r="L376" t="inlineStr">
        <is>
          <t>Primary</t>
        </is>
      </c>
    </row>
    <row r="377">
      <c r="A377" t="n">
        <v>4</v>
      </c>
      <c r="B377" s="23" t="inlineStr">
        <is>
          <t>S03</t>
        </is>
      </c>
      <c r="C377" t="inlineStr">
        <is>
          <t>PZ-A</t>
        </is>
      </c>
      <c r="D377" t="n">
        <v>12</v>
      </c>
      <c r="E377" t="inlineStr">
        <is>
          <t>H0147</t>
        </is>
      </c>
      <c r="F377" t="inlineStr">
        <is>
          <t>桃園市大園區中央路343號</t>
        </is>
      </c>
      <c r="G377" t="n">
        <v>25.098475</v>
      </c>
      <c r="H377" t="n">
        <v>121.222936</v>
      </c>
      <c r="I377" t="n">
        <v>16</v>
      </c>
      <c r="J377" t="n">
        <v>3.6</v>
      </c>
      <c r="K377" t="n">
        <v>254.8</v>
      </c>
      <c r="L377" t="inlineStr">
        <is>
          <t>Primary</t>
        </is>
      </c>
    </row>
    <row r="378">
      <c r="A378" t="n">
        <v>4</v>
      </c>
      <c r="B378" s="23" t="inlineStr">
        <is>
          <t>S03</t>
        </is>
      </c>
      <c r="C378" t="inlineStr">
        <is>
          <t>PZ-A</t>
        </is>
      </c>
      <c r="D378" t="n">
        <v>13</v>
      </c>
      <c r="E378" t="inlineStr">
        <is>
          <t>H0083</t>
        </is>
      </c>
      <c r="F378" t="inlineStr">
        <is>
          <t>桃園市大園區三石里-附座標R3(7-1)</t>
        </is>
      </c>
      <c r="G378" t="n">
        <v>25.093933</v>
      </c>
      <c r="H378" t="n">
        <v>121.221175</v>
      </c>
      <c r="I378" t="n">
        <v>16</v>
      </c>
      <c r="J378" t="n">
        <v>3</v>
      </c>
      <c r="K378" t="n">
        <v>273.8</v>
      </c>
      <c r="L378" t="inlineStr">
        <is>
          <t>Primary</t>
        </is>
      </c>
    </row>
    <row r="379">
      <c r="A379" t="n">
        <v>4</v>
      </c>
      <c r="B379" s="23" t="inlineStr">
        <is>
          <t>S03</t>
        </is>
      </c>
      <c r="C379" t="inlineStr">
        <is>
          <t>PZ-A</t>
        </is>
      </c>
      <c r="D379" t="n">
        <v>14</v>
      </c>
      <c r="E379" t="inlineStr">
        <is>
          <t>H0235</t>
        </is>
      </c>
      <c r="F379" t="inlineStr">
        <is>
          <t>桃園市大園區海港路335巷-附座標R3(9-1)</t>
        </is>
      </c>
      <c r="G379" t="n">
        <v>25.093933</v>
      </c>
      <c r="H379" t="n">
        <v>121.221175</v>
      </c>
      <c r="I379" t="n">
        <v>8</v>
      </c>
      <c r="J379" t="n">
        <v>2</v>
      </c>
      <c r="K379" t="n">
        <v>283.8</v>
      </c>
      <c r="L379" t="inlineStr">
        <is>
          <t>Primary</t>
        </is>
      </c>
    </row>
    <row r="380">
      <c r="A380" t="n">
        <v>4</v>
      </c>
      <c r="B380" s="23" t="inlineStr">
        <is>
          <t>S03</t>
        </is>
      </c>
      <c r="C380" t="inlineStr">
        <is>
          <t>PZ-A</t>
        </is>
      </c>
      <c r="D380" t="n">
        <v>15</v>
      </c>
      <c r="E380" t="inlineStr">
        <is>
          <t>H0081</t>
        </is>
      </c>
      <c r="F380" t="inlineStr">
        <is>
          <t>桃園市大園區三民路二段-附座標R3(8-1)</t>
        </is>
      </c>
      <c r="G380" t="n">
        <v>25.088011</v>
      </c>
      <c r="H380" t="n">
        <v>121.227198</v>
      </c>
      <c r="I380" t="n">
        <v>8</v>
      </c>
      <c r="J380" t="n">
        <v>3</v>
      </c>
      <c r="K380" t="n">
        <v>294.8</v>
      </c>
      <c r="L380" t="inlineStr">
        <is>
          <t>Primary</t>
        </is>
      </c>
    </row>
    <row r="381">
      <c r="A381" t="n">
        <v>4</v>
      </c>
      <c r="B381" s="23" t="inlineStr">
        <is>
          <t>S03</t>
        </is>
      </c>
      <c r="C381" t="inlineStr">
        <is>
          <t>PZ-A</t>
        </is>
      </c>
      <c r="D381" t="n">
        <v>16</v>
      </c>
      <c r="E381" t="inlineStr">
        <is>
          <t>H0249</t>
        </is>
      </c>
      <c r="F381" t="inlineStr">
        <is>
          <t>桃園市大園區國際路三段265號-附座標R3(10-1)</t>
        </is>
      </c>
      <c r="G381" t="n">
        <v>25.088011</v>
      </c>
      <c r="H381" t="n">
        <v>121.227198</v>
      </c>
      <c r="I381" t="n">
        <v>16</v>
      </c>
      <c r="J381" t="n">
        <v>2</v>
      </c>
      <c r="K381" t="n">
        <v>312.8</v>
      </c>
      <c r="L381" t="inlineStr">
        <is>
          <t>Primary</t>
        </is>
      </c>
    </row>
    <row r="382">
      <c r="A382" t="n">
        <v>4</v>
      </c>
      <c r="B382" s="23" t="inlineStr">
        <is>
          <t>S03</t>
        </is>
      </c>
      <c r="C382" t="inlineStr">
        <is>
          <t>PZ-A</t>
        </is>
      </c>
      <c r="D382" t="n">
        <v>17</v>
      </c>
      <c r="E382" t="inlineStr">
        <is>
          <t>H0243</t>
        </is>
      </c>
      <c r="F382" t="inlineStr">
        <is>
          <t>桃園市大園區航站南路19號-中油桃機第四加油站</t>
        </is>
      </c>
      <c r="G382" t="n">
        <v>25.084186</v>
      </c>
      <c r="H382" t="n">
        <v>121.239433</v>
      </c>
      <c r="I382" t="n">
        <v>8</v>
      </c>
      <c r="J382" t="n">
        <v>3.1</v>
      </c>
      <c r="K382" t="n">
        <v>323.9</v>
      </c>
      <c r="L382" t="inlineStr">
        <is>
          <t>Primary</t>
        </is>
      </c>
    </row>
    <row r="383">
      <c r="A383" t="n">
        <v>4</v>
      </c>
      <c r="B383" s="23" t="inlineStr">
        <is>
          <t>S03</t>
        </is>
      </c>
      <c r="C383" t="inlineStr">
        <is>
          <t>PZ-A</t>
        </is>
      </c>
      <c r="D383" t="n">
        <v>18</v>
      </c>
      <c r="E383" t="inlineStr">
        <is>
          <t>H0245</t>
        </is>
      </c>
      <c r="F383" t="inlineStr">
        <is>
          <t>桃園市大園區航勤北路23號-航空警察局(總局)附近</t>
        </is>
      </c>
      <c r="G383" t="n">
        <v>25.085494</v>
      </c>
      <c r="H383" t="n">
        <v>121.241283</v>
      </c>
      <c r="I383" t="n">
        <v>8</v>
      </c>
      <c r="J383" t="n">
        <v>3</v>
      </c>
      <c r="K383" t="n">
        <v>334.9</v>
      </c>
      <c r="L383" t="inlineStr">
        <is>
          <t>Primary</t>
        </is>
      </c>
    </row>
    <row r="384">
      <c r="A384" t="n">
        <v>4</v>
      </c>
      <c r="B384" s="23" t="inlineStr">
        <is>
          <t>S03</t>
        </is>
      </c>
      <c r="C384" t="inlineStr">
        <is>
          <t>PZ-A</t>
        </is>
      </c>
      <c r="D384" t="n">
        <v>19</v>
      </c>
      <c r="E384" t="inlineStr">
        <is>
          <t>H0244</t>
        </is>
      </c>
      <c r="F384" t="inlineStr">
        <is>
          <t>桃園市大園區航勤北路21號對面</t>
        </is>
      </c>
      <c r="G384" t="n">
        <v>25.087525</v>
      </c>
      <c r="H384" t="n">
        <v>121.244369</v>
      </c>
      <c r="I384" t="n">
        <v>8</v>
      </c>
      <c r="J384" t="n">
        <v>3</v>
      </c>
      <c r="K384" t="n">
        <v>345.9</v>
      </c>
      <c r="L384" t="inlineStr">
        <is>
          <t>Primary</t>
        </is>
      </c>
    </row>
    <row r="385">
      <c r="A385" t="n">
        <v>4</v>
      </c>
      <c r="B385" s="23" t="inlineStr">
        <is>
          <t>S03</t>
        </is>
      </c>
      <c r="C385" t="inlineStr">
        <is>
          <t>PZ-A</t>
        </is>
      </c>
      <c r="D385" t="n">
        <v>20</v>
      </c>
      <c r="E385" t="inlineStr">
        <is>
          <t>H0067</t>
        </is>
      </c>
      <c r="F385" t="inlineStr">
        <is>
          <t>桃園市大園區三民路二段153巷27號</t>
        </is>
      </c>
      <c r="G385" t="n">
        <v>25.085361</v>
      </c>
      <c r="H385" t="n">
        <v>121.255594</v>
      </c>
      <c r="I385" t="n">
        <v>16</v>
      </c>
      <c r="J385" t="n">
        <v>3</v>
      </c>
      <c r="K385" t="n">
        <v>364.9</v>
      </c>
      <c r="L385" t="inlineStr">
        <is>
          <t>Primary</t>
        </is>
      </c>
    </row>
    <row r="386">
      <c r="A386" t="n">
        <v>4</v>
      </c>
      <c r="B386" s="23" t="inlineStr">
        <is>
          <t>S03</t>
        </is>
      </c>
      <c r="C386" t="inlineStr">
        <is>
          <t>PZ-A</t>
        </is>
      </c>
      <c r="D386" t="n">
        <v>21</v>
      </c>
      <c r="E386" t="inlineStr">
        <is>
          <t>H0061</t>
        </is>
      </c>
      <c r="F386" t="inlineStr">
        <is>
          <t>桃園市大園區(蘆竹區)星宇航空總部園區附近</t>
        </is>
      </c>
      <c r="G386" t="n">
        <v>25.089844</v>
      </c>
      <c r="H386" t="n">
        <v>121.258111</v>
      </c>
      <c r="I386" t="n">
        <v>16</v>
      </c>
      <c r="J386" t="n">
        <v>3</v>
      </c>
      <c r="K386" t="n">
        <v>383.9</v>
      </c>
      <c r="L386" t="inlineStr">
        <is>
          <t>Primary</t>
        </is>
      </c>
    </row>
    <row r="387">
      <c r="A387" t="n">
        <v>4</v>
      </c>
      <c r="B387" s="23" t="inlineStr">
        <is>
          <t>S03</t>
        </is>
      </c>
      <c r="C387" t="inlineStr">
        <is>
          <t>PZ-A</t>
        </is>
      </c>
      <c r="D387" t="n">
        <v>22</v>
      </c>
      <c r="E387" t="inlineStr">
        <is>
          <t>H0126</t>
        </is>
      </c>
      <c r="F387" t="inlineStr">
        <is>
          <t>桃園市大園區大園重劃區-坑?段9-12地號-附工務所地標電聯定位</t>
        </is>
      </c>
      <c r="G387" t="n">
        <v>25.086314</v>
      </c>
      <c r="H387" t="n">
        <v>121.262294</v>
      </c>
      <c r="I387" t="n">
        <v>8</v>
      </c>
      <c r="J387" t="n">
        <v>3</v>
      </c>
      <c r="K387" t="n">
        <v>394.9</v>
      </c>
      <c r="L387" t="inlineStr">
        <is>
          <t>Primary</t>
        </is>
      </c>
    </row>
    <row r="388">
      <c r="A388" t="n">
        <v>4</v>
      </c>
      <c r="B388" s="23" t="inlineStr">
        <is>
          <t>S03</t>
        </is>
      </c>
      <c r="C388" t="inlineStr">
        <is>
          <t>PZ-A</t>
        </is>
      </c>
      <c r="D388" t="n">
        <v>23</v>
      </c>
      <c r="E388" t="inlineStr">
        <is>
          <t>H0209</t>
        </is>
      </c>
      <c r="F388" t="inlineStr">
        <is>
          <t>桃園市大園區坑?路218巷口(橋頭邊)-捷運工地-(37號)</t>
        </is>
      </c>
      <c r="G388" t="n">
        <v>25.083644</v>
      </c>
      <c r="H388" t="n">
        <v>121.262542</v>
      </c>
      <c r="I388" t="n">
        <v>16</v>
      </c>
      <c r="J388" t="n">
        <v>3</v>
      </c>
      <c r="K388" t="n">
        <v>413.9</v>
      </c>
      <c r="L388" t="inlineStr">
        <is>
          <t>Primary</t>
        </is>
      </c>
    </row>
    <row r="389">
      <c r="A389" t="n">
        <v>4</v>
      </c>
      <c r="B389" s="23" t="inlineStr">
        <is>
          <t>S03</t>
        </is>
      </c>
      <c r="C389" t="inlineStr">
        <is>
          <t>PZ-A</t>
        </is>
      </c>
      <c r="D389" t="n">
        <v>24</v>
      </c>
      <c r="E389" t="inlineStr">
        <is>
          <t>H0933</t>
        </is>
      </c>
      <c r="F389" t="inlineStr">
        <is>
          <t>桃園市蘆竹區圳岸街-近坑口捷運站-附地標</t>
        </is>
      </c>
      <c r="G389" t="n">
        <v>25.082984</v>
      </c>
      <c r="H389" t="n">
        <v>121.265836</v>
      </c>
      <c r="I389" t="n">
        <v>8</v>
      </c>
      <c r="J389" t="n">
        <v>3</v>
      </c>
      <c r="K389" t="n">
        <v>424.9</v>
      </c>
      <c r="L389" t="inlineStr">
        <is>
          <t>Primary</t>
        </is>
      </c>
    </row>
    <row r="390">
      <c r="A390" t="n">
        <v>4</v>
      </c>
      <c r="B390" s="23" t="inlineStr">
        <is>
          <t>S03</t>
        </is>
      </c>
      <c r="C390" t="inlineStr">
        <is>
          <t>PZ-A</t>
        </is>
      </c>
      <c r="D390" t="n">
        <v>25</v>
      </c>
      <c r="E390" t="inlineStr">
        <is>
          <t>H0910</t>
        </is>
      </c>
      <c r="F390" t="inlineStr">
        <is>
          <t>桃園市蘆竹區山?路402巷77號-大園航空程</t>
        </is>
      </c>
      <c r="G390" t="n">
        <v>25.082809</v>
      </c>
      <c r="H390" t="n">
        <v>121.26625</v>
      </c>
      <c r="I390" t="n">
        <v>8</v>
      </c>
      <c r="J390" t="n">
        <v>2</v>
      </c>
      <c r="K390" t="n">
        <v>434.9</v>
      </c>
      <c r="L390" t="inlineStr">
        <is>
          <t>Primary</t>
        </is>
      </c>
    </row>
    <row r="391">
      <c r="A391" t="n">
        <v>4</v>
      </c>
      <c r="B391" s="23" t="inlineStr">
        <is>
          <t>S03</t>
        </is>
      </c>
      <c r="C391" t="inlineStr">
        <is>
          <t>PZ-A</t>
        </is>
      </c>
      <c r="D391" t="n">
        <v>26</v>
      </c>
      <c r="E391" t="inlineStr">
        <is>
          <t>H0063</t>
        </is>
      </c>
      <c r="F391" t="inlineStr">
        <is>
          <t>桃園市大園區?林18-19-捷運工地(36號)</t>
        </is>
      </c>
      <c r="G391" t="n">
        <v>25.08505</v>
      </c>
      <c r="H391" t="n">
        <v>121.266553</v>
      </c>
      <c r="I391" t="n">
        <v>16</v>
      </c>
      <c r="J391" t="n">
        <v>3</v>
      </c>
      <c r="K391" t="n">
        <v>453.9</v>
      </c>
      <c r="L391" t="inlineStr">
        <is>
          <t>Primary</t>
        </is>
      </c>
    </row>
    <row r="392">
      <c r="A392" t="n">
        <v>4</v>
      </c>
      <c r="B392" s="23" t="inlineStr">
        <is>
          <t>S03</t>
        </is>
      </c>
      <c r="C392" t="inlineStr">
        <is>
          <t>PZ-A</t>
        </is>
      </c>
      <c r="D392" t="n">
        <v>27</v>
      </c>
      <c r="E392" t="inlineStr">
        <is>
          <t>H0909</t>
        </is>
      </c>
      <c r="F392" t="inlineStr">
        <is>
          <t>桃園市蘆竹區山?路218號-航空城-誠聖段59、214、215地號</t>
        </is>
      </c>
      <c r="G392" t="n">
        <v>25.086414</v>
      </c>
      <c r="H392" t="n">
        <v>121.269711</v>
      </c>
      <c r="I392" t="n">
        <v>8</v>
      </c>
      <c r="J392" t="n">
        <v>3</v>
      </c>
      <c r="K392" t="n">
        <v>464.9</v>
      </c>
      <c r="L392" t="inlineStr">
        <is>
          <t>Primary</t>
        </is>
      </c>
    </row>
    <row r="393">
      <c r="A393" t="n">
        <v>4</v>
      </c>
      <c r="B393" s="23" t="inlineStr">
        <is>
          <t>S03</t>
        </is>
      </c>
      <c r="C393" t="inlineStr">
        <is>
          <t>PZ-A</t>
        </is>
      </c>
      <c r="D393" t="n">
        <v>28</v>
      </c>
      <c r="E393" t="inlineStr">
        <is>
          <t>H0908</t>
        </is>
      </c>
      <c r="F393" t="inlineStr">
        <is>
          <t>桃園市蘆竹區山?路218號-航空城</t>
        </is>
      </c>
      <c r="G393" t="n">
        <v>25.086761</v>
      </c>
      <c r="H393" t="n">
        <v>121.270053</v>
      </c>
      <c r="I393" t="n">
        <v>8</v>
      </c>
      <c r="J393" t="n">
        <v>2</v>
      </c>
      <c r="K393" t="n">
        <v>474.9</v>
      </c>
      <c r="L393" t="inlineStr">
        <is>
          <t>Primary</t>
        </is>
      </c>
    </row>
    <row r="394">
      <c r="A394" t="n">
        <v>4</v>
      </c>
      <c r="B394" s="23" t="inlineStr">
        <is>
          <t>S03</t>
        </is>
      </c>
      <c r="C394" t="inlineStr">
        <is>
          <t>PZ-A</t>
        </is>
      </c>
      <c r="D394" t="n">
        <v>29</v>
      </c>
      <c r="E394" t="inlineStr">
        <is>
          <t>H0930</t>
        </is>
      </c>
      <c r="F394" t="inlineStr">
        <is>
          <t>桃園市蘆竹區圳岸街25°05'14.9"N 121°16'09.1"E</t>
        </is>
      </c>
      <c r="G394" t="n">
        <v>25.087083</v>
      </c>
      <c r="H394" t="n">
        <v>121.269667</v>
      </c>
      <c r="I394" t="n">
        <v>8</v>
      </c>
      <c r="J394" t="n">
        <v>2</v>
      </c>
      <c r="K394" t="n">
        <v>484.9</v>
      </c>
      <c r="L394" t="inlineStr">
        <is>
          <t>Primary</t>
        </is>
      </c>
    </row>
    <row r="395">
      <c r="A395" t="n">
        <v>4</v>
      </c>
      <c r="B395" s="23" t="inlineStr">
        <is>
          <t>S03</t>
        </is>
      </c>
      <c r="C395" t="inlineStr">
        <is>
          <t>PZ-A</t>
        </is>
      </c>
      <c r="D395" t="n">
        <v>30</v>
      </c>
      <c r="E395" t="inlineStr">
        <is>
          <t>H0931</t>
        </is>
      </c>
      <c r="F395" t="inlineStr">
        <is>
          <t>桃園市蘆竹區圳岸街25號</t>
        </is>
      </c>
      <c r="G395" t="n">
        <v>25.087152</v>
      </c>
      <c r="H395" t="n">
        <v>121.269689</v>
      </c>
      <c r="I395" t="n">
        <v>8</v>
      </c>
      <c r="J395" t="n">
        <v>2</v>
      </c>
      <c r="K395" t="n">
        <v>494.9</v>
      </c>
      <c r="L395" t="inlineStr">
        <is>
          <t>Primary</t>
        </is>
      </c>
    </row>
    <row r="396">
      <c r="A396" t="n">
        <v>4</v>
      </c>
      <c r="B396" s="23" t="inlineStr">
        <is>
          <t>S03</t>
        </is>
      </c>
      <c r="C396" t="inlineStr">
        <is>
          <t>PZ-A</t>
        </is>
      </c>
      <c r="D396" t="n">
        <v>31</v>
      </c>
      <c r="E396" t="inlineStr">
        <is>
          <t>H0938</t>
        </is>
      </c>
      <c r="F396" t="inlineStr">
        <is>
          <t>桃園市蘆竹區油管路2段707號對面工地</t>
        </is>
      </c>
      <c r="G396" t="n">
        <v>25.101319</v>
      </c>
      <c r="H396" t="n">
        <v>121.269739</v>
      </c>
      <c r="I396" t="n">
        <v>8</v>
      </c>
      <c r="J396" t="n">
        <v>3.8</v>
      </c>
      <c r="K396" t="n">
        <v>506.7</v>
      </c>
      <c r="L396" t="inlineStr">
        <is>
          <t>Primary</t>
        </is>
      </c>
    </row>
    <row r="397">
      <c r="A397" t="n">
        <v>4</v>
      </c>
      <c r="B397" s="23" t="inlineStr">
        <is>
          <t>S03</t>
        </is>
      </c>
      <c r="C397" t="inlineStr">
        <is>
          <t>PZ-A</t>
        </is>
      </c>
      <c r="D397" t="n">
        <v>32</v>
      </c>
      <c r="E397" t="inlineStr">
        <is>
          <t>H0965</t>
        </is>
      </c>
      <c r="F397" t="inlineStr">
        <is>
          <t>桃園市蘆竹區海山路二段93號旁</t>
        </is>
      </c>
      <c r="G397" t="n">
        <v>25.102469</v>
      </c>
      <c r="H397" t="n">
        <v>121.260072</v>
      </c>
      <c r="I397" t="n">
        <v>8</v>
      </c>
      <c r="J397" t="n">
        <v>3</v>
      </c>
      <c r="K397" t="n">
        <v>517.7</v>
      </c>
      <c r="L397" t="inlineStr">
        <is>
          <t>Primary</t>
        </is>
      </c>
    </row>
    <row r="398">
      <c r="A398" t="n">
        <v>5</v>
      </c>
      <c r="B398" s="23" t="inlineStr">
        <is>
          <t>S03</t>
        </is>
      </c>
      <c r="C398" t="inlineStr">
        <is>
          <t>PZ-A</t>
        </is>
      </c>
      <c r="D398" t="n">
        <v>1</v>
      </c>
      <c r="E398" t="inlineStr">
        <is>
          <t>H0078</t>
        </is>
      </c>
      <c r="F398" t="inlineStr">
        <is>
          <t>桃園市大園區三民路二段957號對面-航空城-陳欣哲住宅</t>
        </is>
      </c>
      <c r="G398" t="n">
        <v>25.058286</v>
      </c>
      <c r="H398" t="n">
        <v>121.253619</v>
      </c>
      <c r="I398" t="n">
        <v>8</v>
      </c>
      <c r="J398" t="n">
        <v>17.1</v>
      </c>
      <c r="K398" t="n">
        <v>25.1</v>
      </c>
      <c r="L398" t="inlineStr">
        <is>
          <t>Primary</t>
        </is>
      </c>
    </row>
    <row r="399">
      <c r="A399" t="n">
        <v>5</v>
      </c>
      <c r="B399" s="23" t="inlineStr">
        <is>
          <t>S03</t>
        </is>
      </c>
      <c r="C399" t="inlineStr">
        <is>
          <t>PZ-A</t>
        </is>
      </c>
      <c r="D399" t="n">
        <v>2</v>
      </c>
      <c r="E399" t="inlineStr">
        <is>
          <t>H0968</t>
        </is>
      </c>
      <c r="F399" t="inlineStr">
        <is>
          <t>桃園市蘆竹區富華路22號-大園航空程</t>
        </is>
      </c>
      <c r="G399" t="n">
        <v>25.061575</v>
      </c>
      <c r="H399" t="n">
        <v>121.256033</v>
      </c>
      <c r="I399" t="n">
        <v>8</v>
      </c>
      <c r="J399" t="n">
        <v>3</v>
      </c>
      <c r="K399" t="n">
        <v>36.1</v>
      </c>
      <c r="L399" t="inlineStr">
        <is>
          <t>Primary</t>
        </is>
      </c>
    </row>
    <row r="400">
      <c r="A400" t="n">
        <v>5</v>
      </c>
      <c r="B400" s="23" t="inlineStr">
        <is>
          <t>S03</t>
        </is>
      </c>
      <c r="C400" t="inlineStr">
        <is>
          <t>PZ-A</t>
        </is>
      </c>
      <c r="D400" t="n">
        <v>3</v>
      </c>
      <c r="E400" t="inlineStr">
        <is>
          <t>H0076</t>
        </is>
      </c>
      <c r="F400" t="inlineStr">
        <is>
          <t>桃園市大園區三民路二段957號-大園重劃區內</t>
        </is>
      </c>
      <c r="G400" t="n">
        <v>25.063083</v>
      </c>
      <c r="H400" t="n">
        <v>121.257208</v>
      </c>
      <c r="I400" t="n">
        <v>8</v>
      </c>
      <c r="J400" t="n">
        <v>3</v>
      </c>
      <c r="K400" t="n">
        <v>47.1</v>
      </c>
      <c r="L400" t="inlineStr">
        <is>
          <t>Primary</t>
        </is>
      </c>
    </row>
    <row r="401">
      <c r="A401" t="n">
        <v>5</v>
      </c>
      <c r="B401" s="23" t="inlineStr">
        <is>
          <t>S03</t>
        </is>
      </c>
      <c r="C401" t="inlineStr">
        <is>
          <t>PZ-A</t>
        </is>
      </c>
      <c r="D401" t="n">
        <v>4</v>
      </c>
      <c r="E401" t="inlineStr">
        <is>
          <t>H0887</t>
        </is>
      </c>
      <c r="F401" t="inlineStr">
        <is>
          <t>桃園市蘆竹區八股路171巷250號-附地標-大園重劃區</t>
        </is>
      </c>
      <c r="G401" t="n">
        <v>25.066658</v>
      </c>
      <c r="H401" t="n">
        <v>121.261911</v>
      </c>
      <c r="I401" t="n">
        <v>8</v>
      </c>
      <c r="J401" t="n">
        <v>3</v>
      </c>
      <c r="K401" t="n">
        <v>58.1</v>
      </c>
      <c r="L401" t="inlineStr">
        <is>
          <t>Primary</t>
        </is>
      </c>
    </row>
    <row r="402">
      <c r="A402" t="n">
        <v>5</v>
      </c>
      <c r="B402" s="23" t="inlineStr">
        <is>
          <t>S03</t>
        </is>
      </c>
      <c r="C402" t="inlineStr">
        <is>
          <t>PZ-A</t>
        </is>
      </c>
      <c r="D402" t="n">
        <v>5</v>
      </c>
      <c r="E402" t="inlineStr">
        <is>
          <t>H0072</t>
        </is>
      </c>
      <c r="F402" t="inlineStr">
        <is>
          <t>桃園市大園區三民路二段859號對面工地上下設備旁工地</t>
        </is>
      </c>
      <c r="G402" t="n">
        <v>25.06842</v>
      </c>
      <c r="H402" t="n">
        <v>121.260256</v>
      </c>
      <c r="I402" t="n">
        <v>8</v>
      </c>
      <c r="J402" t="n">
        <v>3</v>
      </c>
      <c r="K402" t="n">
        <v>69.09999999999999</v>
      </c>
      <c r="L402" t="inlineStr">
        <is>
          <t>Primary</t>
        </is>
      </c>
    </row>
    <row r="403">
      <c r="A403" t="n">
        <v>5</v>
      </c>
      <c r="B403" s="23" t="inlineStr">
        <is>
          <t>S03</t>
        </is>
      </c>
      <c r="C403" t="inlineStr">
        <is>
          <t>PZ-A</t>
        </is>
      </c>
      <c r="D403" t="n">
        <v>6</v>
      </c>
      <c r="E403" t="inlineStr">
        <is>
          <t>H0088</t>
        </is>
      </c>
      <c r="F403" t="inlineStr">
        <is>
          <t>桃園市大園區三和路45巷14號-大園重劃區-附地標</t>
        </is>
      </c>
      <c r="G403" t="n">
        <v>25.071778</v>
      </c>
      <c r="H403" t="n">
        <v>121.252167</v>
      </c>
      <c r="I403" t="n">
        <v>8</v>
      </c>
      <c r="J403" t="n">
        <v>3</v>
      </c>
      <c r="K403" t="n">
        <v>80.09999999999999</v>
      </c>
      <c r="L403" t="inlineStr">
        <is>
          <t>Primary</t>
        </is>
      </c>
    </row>
    <row r="404">
      <c r="A404" t="n">
        <v>5</v>
      </c>
      <c r="B404" s="23" t="inlineStr">
        <is>
          <t>S03</t>
        </is>
      </c>
      <c r="C404" t="inlineStr">
        <is>
          <t>PZ-A</t>
        </is>
      </c>
      <c r="D404" t="n">
        <v>7</v>
      </c>
      <c r="E404" t="inlineStr">
        <is>
          <t>H0092</t>
        </is>
      </c>
      <c r="F404" t="inlineStr">
        <is>
          <t>桃園市大園區大牛稠17之2號及129號-分2處放(1+2)</t>
        </is>
      </c>
      <c r="G404" t="n">
        <v>25.077092</v>
      </c>
      <c r="H404" t="n">
        <v>121.253875</v>
      </c>
      <c r="I404" t="n">
        <v>24</v>
      </c>
      <c r="J404" t="n">
        <v>3</v>
      </c>
      <c r="K404" t="n">
        <v>107.1</v>
      </c>
      <c r="L404" t="inlineStr">
        <is>
          <t>Primary</t>
        </is>
      </c>
    </row>
    <row r="405">
      <c r="A405" t="n">
        <v>5</v>
      </c>
      <c r="B405" s="23" t="inlineStr">
        <is>
          <t>S03</t>
        </is>
      </c>
      <c r="C405" t="inlineStr">
        <is>
          <t>PZ-A</t>
        </is>
      </c>
      <c r="D405" t="n">
        <v>8</v>
      </c>
      <c r="E405" t="inlineStr">
        <is>
          <t>H0070</t>
        </is>
      </c>
      <c r="F405" t="inlineStr">
        <is>
          <t>桃園市大園區三民路二段831-1號管制區進入-三石段207地號</t>
        </is>
      </c>
      <c r="G405" t="n">
        <v>25.065439</v>
      </c>
      <c r="H405" t="n">
        <v>121.248872</v>
      </c>
      <c r="I405" t="n">
        <v>8</v>
      </c>
      <c r="J405" t="n">
        <v>3.3</v>
      </c>
      <c r="K405" t="n">
        <v>118.4</v>
      </c>
      <c r="L405" t="inlineStr">
        <is>
          <t>Primary</t>
        </is>
      </c>
    </row>
    <row r="406">
      <c r="A406" t="n">
        <v>5</v>
      </c>
      <c r="B406" s="23" t="inlineStr">
        <is>
          <t>S03</t>
        </is>
      </c>
      <c r="C406" t="inlineStr">
        <is>
          <t>PZ-A</t>
        </is>
      </c>
      <c r="D406" t="n">
        <v>9</v>
      </c>
      <c r="E406" t="inlineStr">
        <is>
          <t>H0256</t>
        </is>
      </c>
      <c r="F406" t="inlineStr">
        <is>
          <t>桃園市大園區福德宮大園三塊石埤西對面-附座標</t>
        </is>
      </c>
      <c r="G406" t="n">
        <v>25.063736</v>
      </c>
      <c r="H406" t="n">
        <v>121.238639</v>
      </c>
      <c r="I406" t="n">
        <v>8</v>
      </c>
      <c r="J406" t="n">
        <v>3</v>
      </c>
      <c r="K406" t="n">
        <v>129.4</v>
      </c>
      <c r="L406" t="inlineStr">
        <is>
          <t>Primary</t>
        </is>
      </c>
    </row>
    <row r="407">
      <c r="A407" t="n">
        <v>5</v>
      </c>
      <c r="B407" s="23" t="inlineStr">
        <is>
          <t>S03</t>
        </is>
      </c>
      <c r="C407" t="inlineStr">
        <is>
          <t>PZ-A</t>
        </is>
      </c>
      <c r="D407" t="n">
        <v>10</v>
      </c>
      <c r="E407" t="inlineStr">
        <is>
          <t>H0208</t>
        </is>
      </c>
      <c r="F407" t="inlineStr">
        <is>
          <t>桃園市大園區西濱路一段276號(瑞泰通運旁工地)</t>
        </is>
      </c>
      <c r="G407" t="n">
        <v>25.111133</v>
      </c>
      <c r="H407" t="n">
        <v>121.236122</v>
      </c>
      <c r="I407" t="n">
        <v>8</v>
      </c>
      <c r="J407" t="n">
        <v>12.7</v>
      </c>
      <c r="K407" t="n">
        <v>150.1</v>
      </c>
      <c r="L407" t="inlineStr">
        <is>
          <t>Primary</t>
        </is>
      </c>
    </row>
    <row r="408">
      <c r="A408" t="n">
        <v>5</v>
      </c>
      <c r="B408" s="23" t="inlineStr">
        <is>
          <t>S03</t>
        </is>
      </c>
      <c r="C408" t="inlineStr">
        <is>
          <t>PZ-A</t>
        </is>
      </c>
      <c r="D408" t="n">
        <v>11</v>
      </c>
      <c r="E408" t="inlineStr">
        <is>
          <t>H1038</t>
        </is>
      </c>
      <c r="F408" t="inlineStr">
        <is>
          <t>桃園市觀音區忠孝路902巷142號附近</t>
        </is>
      </c>
      <c r="G408" t="n">
        <v>25.067611</v>
      </c>
      <c r="H408" t="n">
        <v>121.133505</v>
      </c>
      <c r="I408" t="n">
        <v>8</v>
      </c>
      <c r="J408" t="n">
        <v>11.4</v>
      </c>
      <c r="K408" t="n">
        <v>169.5</v>
      </c>
      <c r="L408" t="inlineStr">
        <is>
          <t>Primary</t>
        </is>
      </c>
    </row>
    <row r="409">
      <c r="A409" t="n">
        <v>5</v>
      </c>
      <c r="B409" s="23" t="inlineStr">
        <is>
          <t>S03</t>
        </is>
      </c>
      <c r="C409" t="inlineStr">
        <is>
          <t>PZ-A</t>
        </is>
      </c>
      <c r="D409" t="n">
        <v>12</v>
      </c>
      <c r="E409" t="inlineStr">
        <is>
          <t>H1001</t>
        </is>
      </c>
      <c r="F409" t="inlineStr">
        <is>
          <t>桃園市觀音區工業二路10號</t>
        </is>
      </c>
      <c r="G409" t="n">
        <v>25.065242</v>
      </c>
      <c r="H409" t="n">
        <v>121.127148</v>
      </c>
      <c r="I409" t="n">
        <v>8</v>
      </c>
      <c r="J409" t="n">
        <v>3</v>
      </c>
      <c r="K409" t="n">
        <v>180.5</v>
      </c>
      <c r="L409" t="inlineStr">
        <is>
          <t>Primary</t>
        </is>
      </c>
    </row>
    <row r="410">
      <c r="A410" t="n">
        <v>5</v>
      </c>
      <c r="B410" s="23" t="inlineStr">
        <is>
          <t>S03</t>
        </is>
      </c>
      <c r="C410" t="inlineStr">
        <is>
          <t>PZ-A</t>
        </is>
      </c>
      <c r="D410" t="n">
        <v>13</v>
      </c>
      <c r="E410" t="inlineStr">
        <is>
          <t>H1077</t>
        </is>
      </c>
      <c r="F410" t="inlineStr">
        <is>
          <t>桃園市觀音區經建一路5號對面工地</t>
        </is>
      </c>
      <c r="G410" t="n">
        <v>25.05393919999999</v>
      </c>
      <c r="H410" t="n">
        <v>121.1182532</v>
      </c>
      <c r="I410" t="n">
        <v>80</v>
      </c>
      <c r="J410" t="n">
        <v>3.7</v>
      </c>
      <c r="K410" t="n">
        <v>264.2</v>
      </c>
      <c r="L410" t="inlineStr">
        <is>
          <t>Primary</t>
        </is>
      </c>
    </row>
    <row r="411">
      <c r="A411" t="n">
        <v>5</v>
      </c>
      <c r="B411" s="23" t="inlineStr">
        <is>
          <t>S03</t>
        </is>
      </c>
      <c r="C411" t="inlineStr">
        <is>
          <t>PZ-A</t>
        </is>
      </c>
      <c r="D411" t="n">
        <v>14</v>
      </c>
      <c r="E411" t="inlineStr">
        <is>
          <t>H1018</t>
        </is>
      </c>
      <c r="F411" t="inlineStr">
        <is>
          <t>桃園市觀音區玉林路一段521號-酷澎倉庫</t>
        </is>
      </c>
      <c r="G411" t="n">
        <v>25.044997</v>
      </c>
      <c r="H411" t="n">
        <v>121.090016</v>
      </c>
      <c r="I411" t="n">
        <v>88</v>
      </c>
      <c r="J411" t="n">
        <v>7.2</v>
      </c>
      <c r="K411" t="n">
        <v>359.4</v>
      </c>
      <c r="L411" t="inlineStr">
        <is>
          <t>Primary</t>
        </is>
      </c>
    </row>
    <row r="412">
      <c r="A412" t="n">
        <v>5</v>
      </c>
      <c r="B412" s="23" t="inlineStr">
        <is>
          <t>S03</t>
        </is>
      </c>
      <c r="C412" t="inlineStr">
        <is>
          <t>PZ-A</t>
        </is>
      </c>
      <c r="D412" t="n">
        <v>15</v>
      </c>
      <c r="E412" t="inlineStr">
        <is>
          <t>H1097</t>
        </is>
      </c>
      <c r="F412" t="inlineStr">
        <is>
          <t>桃園市觀音區廣興一路90-1號</t>
        </is>
      </c>
      <c r="G412" t="n">
        <v>25.032709</v>
      </c>
      <c r="H412" t="n">
        <v>121.086252</v>
      </c>
      <c r="I412" t="n">
        <v>8</v>
      </c>
      <c r="J412" t="n">
        <v>3.4</v>
      </c>
      <c r="K412" t="n">
        <v>370.8</v>
      </c>
      <c r="L412" t="inlineStr">
        <is>
          <t>Primary</t>
        </is>
      </c>
    </row>
    <row r="413">
      <c r="A413" t="n">
        <v>5</v>
      </c>
      <c r="B413" s="23" t="inlineStr">
        <is>
          <t>S03</t>
        </is>
      </c>
      <c r="C413" t="inlineStr">
        <is>
          <t>PZ-A</t>
        </is>
      </c>
      <c r="D413" t="n">
        <v>16</v>
      </c>
      <c r="E413" t="inlineStr">
        <is>
          <t>H1106</t>
        </is>
      </c>
      <c r="F413" t="inlineStr">
        <is>
          <t>桃園市觀音區環科路528號-聯華二期</t>
        </is>
      </c>
      <c r="G413" t="n">
        <v>25.0410018</v>
      </c>
      <c r="H413" t="n">
        <v>121.0677477</v>
      </c>
      <c r="I413" t="n">
        <v>32</v>
      </c>
      <c r="J413" t="n">
        <v>5</v>
      </c>
      <c r="K413" t="n">
        <v>407.8</v>
      </c>
      <c r="L413" t="inlineStr">
        <is>
          <t>Primary</t>
        </is>
      </c>
    </row>
    <row r="414">
      <c r="A414" t="n">
        <v>5</v>
      </c>
      <c r="B414" s="23" t="inlineStr">
        <is>
          <t>S03</t>
        </is>
      </c>
      <c r="C414" t="inlineStr">
        <is>
          <t>PZ-A</t>
        </is>
      </c>
      <c r="D414" t="n">
        <v>17</v>
      </c>
      <c r="E414" t="inlineStr">
        <is>
          <t>H1048</t>
        </is>
      </c>
      <c r="F414" t="inlineStr">
        <is>
          <t>桃園市觀音區保生十街260號</t>
        </is>
      </c>
      <c r="G414" t="n">
        <v>25.027003</v>
      </c>
      <c r="H414" t="n">
        <v>121.0572</v>
      </c>
      <c r="I414" t="n">
        <v>8</v>
      </c>
      <c r="J414" t="n">
        <v>4.5</v>
      </c>
      <c r="K414" t="n">
        <v>420.3</v>
      </c>
      <c r="L414" t="inlineStr">
        <is>
          <t>Primary</t>
        </is>
      </c>
    </row>
    <row r="415">
      <c r="A415" t="n">
        <v>5</v>
      </c>
      <c r="B415" s="23" t="inlineStr">
        <is>
          <t>S03</t>
        </is>
      </c>
      <c r="C415" t="inlineStr">
        <is>
          <t>PZ-A</t>
        </is>
      </c>
      <c r="D415" t="n">
        <v>18</v>
      </c>
      <c r="E415" t="inlineStr">
        <is>
          <t>H1085</t>
        </is>
      </c>
      <c r="F415" t="inlineStr">
        <is>
          <t>桃園市觀音區電廠路1號(大潭電廠)-需帶雙證件</t>
        </is>
      </c>
      <c r="G415" t="n">
        <v>25.0238</v>
      </c>
      <c r="H415" t="n">
        <v>121.048316</v>
      </c>
      <c r="I415" t="n">
        <v>8</v>
      </c>
      <c r="J415" t="n">
        <v>3</v>
      </c>
      <c r="K415" t="n">
        <v>431.3</v>
      </c>
      <c r="L415" t="inlineStr">
        <is>
          <t>Primary</t>
        </is>
      </c>
    </row>
    <row r="416">
      <c r="A416" t="n">
        <v>5</v>
      </c>
      <c r="B416" s="23" t="inlineStr">
        <is>
          <t>S03</t>
        </is>
      </c>
      <c r="C416" t="inlineStr">
        <is>
          <t>PZ-A</t>
        </is>
      </c>
      <c r="D416" t="n">
        <v>19</v>
      </c>
      <c r="E416" t="inlineStr">
        <is>
          <t>H1028</t>
        </is>
      </c>
      <c r="F416" t="inlineStr">
        <is>
          <t>桃園市觀音區快速路9段868巷35號</t>
        </is>
      </c>
      <c r="G416" t="n">
        <v>25.014153</v>
      </c>
      <c r="H416" t="n">
        <v>121.082053</v>
      </c>
      <c r="I416" t="n">
        <v>8</v>
      </c>
      <c r="J416" t="n">
        <v>8.6</v>
      </c>
      <c r="K416" t="n">
        <v>447.9</v>
      </c>
      <c r="L416" t="inlineStr">
        <is>
          <t>Primary</t>
        </is>
      </c>
    </row>
    <row r="417">
      <c r="A417" t="n">
        <v>5</v>
      </c>
      <c r="B417" s="23" t="inlineStr">
        <is>
          <t>S03</t>
        </is>
      </c>
      <c r="C417" t="inlineStr">
        <is>
          <t>PZ-D</t>
        </is>
      </c>
      <c r="D417" t="n">
        <v>20</v>
      </c>
      <c r="E417" t="inlineStr">
        <is>
          <t>K0071</t>
        </is>
      </c>
      <c r="F417" t="inlineStr">
        <is>
          <t>苗栗縣頭份市興埔街364號-南湖變電所</t>
        </is>
      </c>
      <c r="G417" t="n">
        <v>24.708156</v>
      </c>
      <c r="H417" t="n">
        <v>120.937325</v>
      </c>
      <c r="I417" t="n">
        <v>16</v>
      </c>
      <c r="J417" t="n">
        <v>37</v>
      </c>
      <c r="K417" t="n">
        <v>500.9</v>
      </c>
      <c r="L417" s="21" t="inlineStr">
        <is>
          <t>Support</t>
        </is>
      </c>
    </row>
    <row r="418">
      <c r="A418" t="n">
        <v>6</v>
      </c>
      <c r="B418" s="23" t="inlineStr">
        <is>
          <t>S03</t>
        </is>
      </c>
      <c r="C418" t="inlineStr">
        <is>
          <t>PZ-C</t>
        </is>
      </c>
      <c r="D418" t="n">
        <v>1</v>
      </c>
      <c r="E418" t="inlineStr">
        <is>
          <t>O0082</t>
        </is>
      </c>
      <c r="F418" t="inlineStr">
        <is>
          <t>新竹市東區慈雲路60號旁</t>
        </is>
      </c>
      <c r="G418" t="n">
        <v>24.790494</v>
      </c>
      <c r="H418" t="n">
        <v>121.011997</v>
      </c>
      <c r="I418" t="n">
        <v>16</v>
      </c>
      <c r="J418" t="n">
        <v>25.2</v>
      </c>
      <c r="K418" t="n">
        <v>41.2</v>
      </c>
      <c r="L418" s="21" t="inlineStr">
        <is>
          <t>Support</t>
        </is>
      </c>
    </row>
    <row r="419">
      <c r="A419" t="n">
        <v>6</v>
      </c>
      <c r="B419" s="23" t="inlineStr">
        <is>
          <t>S03</t>
        </is>
      </c>
      <c r="C419" t="inlineStr">
        <is>
          <t>PZ-C</t>
        </is>
      </c>
      <c r="D419" t="n">
        <v>2</v>
      </c>
      <c r="E419" t="inlineStr">
        <is>
          <t>J0221</t>
        </is>
      </c>
      <c r="F419" t="inlineStr">
        <is>
          <t>新竹縣寶山鄉大雅路二段近啟德廠-雙龍段296號-電聯定位</t>
        </is>
      </c>
      <c r="G419" t="n">
        <v>24.7600308</v>
      </c>
      <c r="H419" t="n">
        <v>121.0055931</v>
      </c>
      <c r="I419" t="n">
        <v>32</v>
      </c>
      <c r="J419" t="n">
        <v>8.300000000000001</v>
      </c>
      <c r="K419" t="n">
        <v>81.5</v>
      </c>
      <c r="L419" s="21" t="inlineStr">
        <is>
          <t>Support</t>
        </is>
      </c>
    </row>
    <row r="420">
      <c r="A420" t="n">
        <v>6</v>
      </c>
      <c r="B420" s="23" t="inlineStr">
        <is>
          <t>S03</t>
        </is>
      </c>
      <c r="C420" t="inlineStr">
        <is>
          <t>PZ-C</t>
        </is>
      </c>
      <c r="D420" t="n">
        <v>3</v>
      </c>
      <c r="E420" t="inlineStr">
        <is>
          <t>J0220</t>
        </is>
      </c>
      <c r="F420" t="inlineStr">
        <is>
          <t>新竹縣寶山鄉大雅路二段141號24°45'33.4"N 121°00'13.8"E</t>
        </is>
      </c>
      <c r="G420" t="n">
        <v>24.7591</v>
      </c>
      <c r="H420" t="n">
        <v>121.003511</v>
      </c>
      <c r="I420" t="n">
        <v>8</v>
      </c>
      <c r="J420" t="n">
        <v>3</v>
      </c>
      <c r="K420" t="n">
        <v>92.5</v>
      </c>
      <c r="L420" s="21" t="inlineStr">
        <is>
          <t>Support</t>
        </is>
      </c>
    </row>
    <row r="421">
      <c r="A421" t="n">
        <v>6</v>
      </c>
      <c r="B421" s="23" t="inlineStr">
        <is>
          <t>S03</t>
        </is>
      </c>
      <c r="C421" t="inlineStr">
        <is>
          <t>PZ-C</t>
        </is>
      </c>
      <c r="D421" t="n">
        <v>4</v>
      </c>
      <c r="E421" t="inlineStr">
        <is>
          <t>J0228</t>
        </is>
      </c>
      <c r="F421" t="inlineStr">
        <is>
          <t>新竹縣寶山鄉雙龍路206號工地</t>
        </is>
      </c>
      <c r="G421" t="n">
        <v>24.759497</v>
      </c>
      <c r="H421" t="n">
        <v>121.002108</v>
      </c>
      <c r="I421" t="n">
        <v>8</v>
      </c>
      <c r="J421" t="n">
        <v>3</v>
      </c>
      <c r="K421" t="n">
        <v>103.5</v>
      </c>
      <c r="L421" s="21" t="inlineStr">
        <is>
          <t>Support</t>
        </is>
      </c>
    </row>
    <row r="422">
      <c r="A422" t="n">
        <v>1</v>
      </c>
      <c r="B422" s="24" t="inlineStr">
        <is>
          <t>S04</t>
        </is>
      </c>
      <c r="C422" t="inlineStr">
        <is>
          <t>PZ-A</t>
        </is>
      </c>
      <c r="D422" t="n">
        <v>1</v>
      </c>
      <c r="E422" t="inlineStr">
        <is>
          <t>H0572</t>
        </is>
      </c>
      <c r="F422" t="inlineStr">
        <is>
          <t>桃園市桃園區介壽路523巷60號-桃合段8-1地號新建工程</t>
        </is>
      </c>
      <c r="G422" t="n">
        <v>24.975256</v>
      </c>
      <c r="H422" t="n">
        <v>121.304206</v>
      </c>
      <c r="I422" t="n">
        <v>8</v>
      </c>
      <c r="J422" t="n">
        <v>10.9</v>
      </c>
      <c r="K422" t="n">
        <v>18.9</v>
      </c>
      <c r="L422" t="inlineStr">
        <is>
          <t>Primary</t>
        </is>
      </c>
    </row>
    <row r="423">
      <c r="A423" t="n">
        <v>1</v>
      </c>
      <c r="B423" s="24" t="inlineStr">
        <is>
          <t>S04</t>
        </is>
      </c>
      <c r="C423" t="inlineStr">
        <is>
          <t>PZ-A</t>
        </is>
      </c>
      <c r="D423" t="n">
        <v>2</v>
      </c>
      <c r="E423" t="inlineStr">
        <is>
          <t>H0570</t>
        </is>
      </c>
      <c r="F423" t="inlineStr">
        <is>
          <t>桃園市桃園區介壽路523巷60號-合作社</t>
        </is>
      </c>
      <c r="G423" t="n">
        <v>24.975289</v>
      </c>
      <c r="H423" t="n">
        <v>121.304219</v>
      </c>
      <c r="I423" t="n">
        <v>8</v>
      </c>
      <c r="J423" t="n">
        <v>2</v>
      </c>
      <c r="K423" t="n">
        <v>28.9</v>
      </c>
      <c r="L423" t="inlineStr">
        <is>
          <t>Primary</t>
        </is>
      </c>
    </row>
    <row r="424">
      <c r="A424" t="n">
        <v>1</v>
      </c>
      <c r="B424" s="24" t="inlineStr">
        <is>
          <t>S04</t>
        </is>
      </c>
      <c r="C424" t="inlineStr">
        <is>
          <t>PZ-A</t>
        </is>
      </c>
      <c r="D424" t="n">
        <v>3</v>
      </c>
      <c r="E424" t="inlineStr">
        <is>
          <t>H0571</t>
        </is>
      </c>
      <c r="F424" t="inlineStr">
        <is>
          <t>桃園市桃園區介壽路523巷60號旁-桃合段8-1地號新建工程</t>
        </is>
      </c>
      <c r="G424" t="n">
        <v>24.975339</v>
      </c>
      <c r="H424" t="n">
        <v>121.304236</v>
      </c>
      <c r="I424" t="n">
        <v>8</v>
      </c>
      <c r="J424" t="n">
        <v>2</v>
      </c>
      <c r="K424" t="n">
        <v>38.9</v>
      </c>
      <c r="L424" t="inlineStr">
        <is>
          <t>Primary</t>
        </is>
      </c>
    </row>
    <row r="425">
      <c r="A425" t="n">
        <v>1</v>
      </c>
      <c r="B425" s="24" t="inlineStr">
        <is>
          <t>S04</t>
        </is>
      </c>
      <c r="C425" t="inlineStr">
        <is>
          <t>PZ-A</t>
        </is>
      </c>
      <c r="D425" t="n">
        <v>4</v>
      </c>
      <c r="E425" t="inlineStr">
        <is>
          <t>H0601</t>
        </is>
      </c>
      <c r="F425" t="inlineStr">
        <is>
          <t>桃園市桃園區南豐街294巷16號隔壁</t>
        </is>
      </c>
      <c r="G425" t="n">
        <v>24.981139</v>
      </c>
      <c r="H425" t="n">
        <v>121.304083</v>
      </c>
      <c r="I425" t="n">
        <v>8</v>
      </c>
      <c r="J425" t="n">
        <v>3</v>
      </c>
      <c r="K425" t="n">
        <v>49.9</v>
      </c>
      <c r="L425" t="inlineStr">
        <is>
          <t>Primary</t>
        </is>
      </c>
    </row>
    <row r="426">
      <c r="A426" t="n">
        <v>1</v>
      </c>
      <c r="B426" s="24" t="inlineStr">
        <is>
          <t>S04</t>
        </is>
      </c>
      <c r="C426" t="inlineStr">
        <is>
          <t>PZ-A</t>
        </is>
      </c>
      <c r="D426" t="n">
        <v>5</v>
      </c>
      <c r="E426" t="inlineStr">
        <is>
          <t>H0600</t>
        </is>
      </c>
      <c r="F426" t="inlineStr">
        <is>
          <t>桃園市桃園區南豐二街63號-玉山公園附近</t>
        </is>
      </c>
      <c r="G426" t="n">
        <v>24.982448</v>
      </c>
      <c r="H426" t="n">
        <v>121.303792</v>
      </c>
      <c r="I426" t="n">
        <v>8</v>
      </c>
      <c r="J426" t="n">
        <v>3</v>
      </c>
      <c r="K426" t="n">
        <v>60.9</v>
      </c>
      <c r="L426" t="inlineStr">
        <is>
          <t>Primary</t>
        </is>
      </c>
    </row>
    <row r="427">
      <c r="A427" t="n">
        <v>1</v>
      </c>
      <c r="B427" s="24" t="inlineStr">
        <is>
          <t>S04</t>
        </is>
      </c>
      <c r="C427" t="inlineStr">
        <is>
          <t>PZ-A</t>
        </is>
      </c>
      <c r="D427" t="n">
        <v>6</v>
      </c>
      <c r="E427" t="inlineStr">
        <is>
          <t>H0569</t>
        </is>
      </c>
      <c r="F427" t="inlineStr">
        <is>
          <t>桃園市桃園區介壽路&amp;三民路三段交叉口</t>
        </is>
      </c>
      <c r="G427" t="n">
        <v>24.981253</v>
      </c>
      <c r="H427" t="n">
        <v>121.306794</v>
      </c>
      <c r="I427" t="n">
        <v>32</v>
      </c>
      <c r="J427" t="n">
        <v>3</v>
      </c>
      <c r="K427" t="n">
        <v>95.90000000000001</v>
      </c>
      <c r="L427" t="inlineStr">
        <is>
          <t>Primary</t>
        </is>
      </c>
    </row>
    <row r="428">
      <c r="A428" t="n">
        <v>1</v>
      </c>
      <c r="B428" s="24" t="inlineStr">
        <is>
          <t>S04</t>
        </is>
      </c>
      <c r="C428" t="inlineStr">
        <is>
          <t>PZ-A</t>
        </is>
      </c>
      <c r="D428" t="n">
        <v>7</v>
      </c>
      <c r="E428" t="inlineStr">
        <is>
          <t>H0603</t>
        </is>
      </c>
      <c r="F428" t="inlineStr">
        <is>
          <t>桃園市桃園區建華二街5巷1號</t>
        </is>
      </c>
      <c r="G428" t="n">
        <v>24.983306</v>
      </c>
      <c r="H428" t="n">
        <v>121.311764</v>
      </c>
      <c r="I428" t="n">
        <v>8</v>
      </c>
      <c r="J428" t="n">
        <v>3</v>
      </c>
      <c r="K428" t="n">
        <v>106.9</v>
      </c>
      <c r="L428" t="inlineStr">
        <is>
          <t>Primary</t>
        </is>
      </c>
    </row>
    <row r="429">
      <c r="A429" t="n">
        <v>1</v>
      </c>
      <c r="B429" s="24" t="inlineStr">
        <is>
          <t>S04</t>
        </is>
      </c>
      <c r="C429" t="inlineStr">
        <is>
          <t>PZ-A</t>
        </is>
      </c>
      <c r="D429" t="n">
        <v>8</v>
      </c>
      <c r="E429" t="inlineStr">
        <is>
          <t>H0602</t>
        </is>
      </c>
      <c r="F429" t="inlineStr">
        <is>
          <t>桃園市桃園區建國路123巷22號對面工地</t>
        </is>
      </c>
      <c r="G429" t="n">
        <v>24.984927</v>
      </c>
      <c r="H429" t="n">
        <v>121.311056</v>
      </c>
      <c r="I429" t="n">
        <v>8</v>
      </c>
      <c r="J429" t="n">
        <v>3</v>
      </c>
      <c r="K429" t="n">
        <v>117.9</v>
      </c>
      <c r="L429" t="inlineStr">
        <is>
          <t>Primary</t>
        </is>
      </c>
    </row>
    <row r="430">
      <c r="A430" t="n">
        <v>1</v>
      </c>
      <c r="B430" s="24" t="inlineStr">
        <is>
          <t>S04</t>
        </is>
      </c>
      <c r="C430" t="inlineStr">
        <is>
          <t>PZ-A</t>
        </is>
      </c>
      <c r="D430" t="n">
        <v>9</v>
      </c>
      <c r="E430" t="inlineStr">
        <is>
          <t>H0596</t>
        </is>
      </c>
      <c r="F430" t="inlineStr">
        <is>
          <t>桃園市桃園區昆明路125號對面</t>
        </is>
      </c>
      <c r="G430" t="n">
        <v>24.984058</v>
      </c>
      <c r="H430" t="n">
        <v>121.313531</v>
      </c>
      <c r="I430" t="n">
        <v>8</v>
      </c>
      <c r="J430" t="n">
        <v>3</v>
      </c>
      <c r="K430" t="n">
        <v>128.9</v>
      </c>
      <c r="L430" t="inlineStr">
        <is>
          <t>Primary</t>
        </is>
      </c>
    </row>
    <row r="431">
      <c r="A431" t="n">
        <v>1</v>
      </c>
      <c r="B431" s="24" t="inlineStr">
        <is>
          <t>S04</t>
        </is>
      </c>
      <c r="C431" t="inlineStr">
        <is>
          <t>PZ-A</t>
        </is>
      </c>
      <c r="D431" t="n">
        <v>10</v>
      </c>
      <c r="E431" t="inlineStr">
        <is>
          <t>H0597</t>
        </is>
      </c>
      <c r="F431" t="inlineStr">
        <is>
          <t>桃園市桃園區金門一街29巷9號</t>
        </is>
      </c>
      <c r="G431" t="n">
        <v>24.980961</v>
      </c>
      <c r="H431" t="n">
        <v>121.313389</v>
      </c>
      <c r="I431" t="n">
        <v>8</v>
      </c>
      <c r="J431" t="n">
        <v>3</v>
      </c>
      <c r="K431" t="n">
        <v>139.9</v>
      </c>
      <c r="L431" t="inlineStr">
        <is>
          <t>Primary</t>
        </is>
      </c>
    </row>
    <row r="432">
      <c r="A432" t="n">
        <v>1</v>
      </c>
      <c r="B432" s="24" t="inlineStr">
        <is>
          <t>S04</t>
        </is>
      </c>
      <c r="C432" t="inlineStr">
        <is>
          <t>PZ-A</t>
        </is>
      </c>
      <c r="D432" t="n">
        <v>11</v>
      </c>
      <c r="E432" t="inlineStr">
        <is>
          <t>H0593</t>
        </is>
      </c>
      <c r="F432" t="inlineStr">
        <is>
          <t>桃園市桃園區延平路326號-福豐國中</t>
        </is>
      </c>
      <c r="G432" t="n">
        <v>24.976761</v>
      </c>
      <c r="H432" t="n">
        <v>121.312728</v>
      </c>
      <c r="I432" t="n">
        <v>8</v>
      </c>
      <c r="J432" t="n">
        <v>3</v>
      </c>
      <c r="K432" t="n">
        <v>150.9</v>
      </c>
      <c r="L432" t="inlineStr">
        <is>
          <t>Primary</t>
        </is>
      </c>
    </row>
    <row r="433">
      <c r="A433" t="n">
        <v>1</v>
      </c>
      <c r="B433" s="24" t="inlineStr">
        <is>
          <t>S04</t>
        </is>
      </c>
      <c r="C433" t="inlineStr">
        <is>
          <t>PZ-A</t>
        </is>
      </c>
      <c r="D433" t="n">
        <v>12</v>
      </c>
      <c r="E433" t="inlineStr">
        <is>
          <t>H0626</t>
        </is>
      </c>
      <c r="F433" t="inlineStr">
        <is>
          <t>桃園市桃園區興隆路6-1號</t>
        </is>
      </c>
      <c r="G433" t="n">
        <v>24.9847017</v>
      </c>
      <c r="H433" t="n">
        <v>121.3202151</v>
      </c>
      <c r="I433" t="n">
        <v>16</v>
      </c>
      <c r="J433" t="n">
        <v>3</v>
      </c>
      <c r="K433" t="n">
        <v>169.9</v>
      </c>
      <c r="L433" t="inlineStr">
        <is>
          <t>Primary</t>
        </is>
      </c>
    </row>
    <row r="434">
      <c r="A434" t="n">
        <v>1</v>
      </c>
      <c r="B434" s="24" t="inlineStr">
        <is>
          <t>S04</t>
        </is>
      </c>
      <c r="C434" t="inlineStr">
        <is>
          <t>PZ-A</t>
        </is>
      </c>
      <c r="D434" t="n">
        <v>13</v>
      </c>
      <c r="E434" t="inlineStr">
        <is>
          <t>H0626</t>
        </is>
      </c>
      <c r="F434" t="inlineStr">
        <is>
          <t>桃園市桃園區興隆路6-1號</t>
        </is>
      </c>
      <c r="G434" t="n">
        <v>24.984889</v>
      </c>
      <c r="H434" t="n">
        <v>121.320828</v>
      </c>
      <c r="I434" t="n">
        <v>16</v>
      </c>
      <c r="J434" t="n">
        <v>2</v>
      </c>
      <c r="K434" t="n">
        <v>187.9</v>
      </c>
      <c r="L434" t="inlineStr">
        <is>
          <t>Primary</t>
        </is>
      </c>
    </row>
    <row r="435">
      <c r="A435" t="n">
        <v>1</v>
      </c>
      <c r="B435" s="24" t="inlineStr">
        <is>
          <t>S04</t>
        </is>
      </c>
      <c r="C435" t="inlineStr">
        <is>
          <t>PZ-A</t>
        </is>
      </c>
      <c r="D435" t="n">
        <v>14</v>
      </c>
      <c r="E435" t="inlineStr">
        <is>
          <t>H0879</t>
        </is>
      </c>
      <c r="F435" t="inlineStr">
        <is>
          <t>桃園市龜山區興邦路35號</t>
        </is>
      </c>
      <c r="G435" t="n">
        <v>24.983092</v>
      </c>
      <c r="H435" t="n">
        <v>121.326273</v>
      </c>
      <c r="I435" t="n">
        <v>8</v>
      </c>
      <c r="J435" t="n">
        <v>3</v>
      </c>
      <c r="K435" t="n">
        <v>198.9</v>
      </c>
      <c r="L435" t="inlineStr">
        <is>
          <t>Primary</t>
        </is>
      </c>
    </row>
    <row r="436">
      <c r="A436" t="n">
        <v>1</v>
      </c>
      <c r="B436" s="24" t="inlineStr">
        <is>
          <t>S04</t>
        </is>
      </c>
      <c r="C436" t="inlineStr">
        <is>
          <t>PZ-A</t>
        </is>
      </c>
      <c r="D436" t="n">
        <v>15</v>
      </c>
      <c r="E436" t="inlineStr">
        <is>
          <t>H0840</t>
        </is>
      </c>
      <c r="F436" t="inlineStr">
        <is>
          <t>桃園市龜山區山鶯路文華巷2號</t>
        </is>
      </c>
      <c r="G436" t="n">
        <v>24.9848127</v>
      </c>
      <c r="H436" t="n">
        <v>121.3295251</v>
      </c>
      <c r="I436" t="n">
        <v>32</v>
      </c>
      <c r="J436" t="n">
        <v>3</v>
      </c>
      <c r="K436" t="n">
        <v>233.9</v>
      </c>
      <c r="L436" t="inlineStr">
        <is>
          <t>Primary</t>
        </is>
      </c>
    </row>
    <row r="437">
      <c r="A437" t="n">
        <v>1</v>
      </c>
      <c r="B437" s="24" t="inlineStr">
        <is>
          <t>S04</t>
        </is>
      </c>
      <c r="C437" t="inlineStr">
        <is>
          <t>PZ-A</t>
        </is>
      </c>
      <c r="D437" t="n">
        <v>16</v>
      </c>
      <c r="E437" t="inlineStr">
        <is>
          <t>H0840</t>
        </is>
      </c>
      <c r="F437" t="inlineStr">
        <is>
          <t>桃園市龜山區山鶯路文華巷2號</t>
        </is>
      </c>
      <c r="G437" t="n">
        <v>24.984872</v>
      </c>
      <c r="H437" t="n">
        <v>121.330339</v>
      </c>
      <c r="I437" t="n">
        <v>32</v>
      </c>
      <c r="J437" t="n">
        <v>2</v>
      </c>
      <c r="K437" t="n">
        <v>267.9</v>
      </c>
      <c r="L437" t="inlineStr">
        <is>
          <t>Primary</t>
        </is>
      </c>
    </row>
    <row r="438">
      <c r="A438" t="n">
        <v>1</v>
      </c>
      <c r="B438" s="24" t="inlineStr">
        <is>
          <t>S04</t>
        </is>
      </c>
      <c r="C438" t="inlineStr">
        <is>
          <t>PZ-A</t>
        </is>
      </c>
      <c r="D438" t="n">
        <v>17</v>
      </c>
      <c r="E438" t="inlineStr">
        <is>
          <t>H0842</t>
        </is>
      </c>
      <c r="F438" t="inlineStr">
        <is>
          <t>桃園市龜山區中興路2號-微星科技</t>
        </is>
      </c>
      <c r="G438" t="n">
        <v>24.9864885</v>
      </c>
      <c r="H438" t="n">
        <v>121.329624</v>
      </c>
      <c r="I438" t="n">
        <v>32</v>
      </c>
      <c r="J438" t="n">
        <v>3</v>
      </c>
      <c r="K438" t="n">
        <v>302.9</v>
      </c>
      <c r="L438" t="inlineStr">
        <is>
          <t>Primary</t>
        </is>
      </c>
    </row>
    <row r="439">
      <c r="A439" t="n">
        <v>1</v>
      </c>
      <c r="B439" s="24" t="inlineStr">
        <is>
          <t>S04</t>
        </is>
      </c>
      <c r="C439" t="inlineStr">
        <is>
          <t>PZ-A</t>
        </is>
      </c>
      <c r="D439" t="n">
        <v>18</v>
      </c>
      <c r="E439" t="inlineStr">
        <is>
          <t>H0841</t>
        </is>
      </c>
      <c r="F439" t="inlineStr">
        <is>
          <t>桃園市龜山區中興路100巷20號-幸福國中 後方籃球場</t>
        </is>
      </c>
      <c r="G439" t="n">
        <v>24.98713</v>
      </c>
      <c r="H439" t="n">
        <v>121.333214</v>
      </c>
      <c r="I439" t="n">
        <v>8</v>
      </c>
      <c r="J439" t="n">
        <v>3</v>
      </c>
      <c r="K439" t="n">
        <v>313.9</v>
      </c>
      <c r="L439" t="inlineStr">
        <is>
          <t>Primary</t>
        </is>
      </c>
    </row>
    <row r="440">
      <c r="A440" t="n">
        <v>1</v>
      </c>
      <c r="B440" s="24" t="inlineStr">
        <is>
          <t>S04</t>
        </is>
      </c>
      <c r="C440" t="inlineStr">
        <is>
          <t>PZ-A</t>
        </is>
      </c>
      <c r="D440" t="n">
        <v>19</v>
      </c>
      <c r="E440" t="inlineStr">
        <is>
          <t>H0864</t>
        </is>
      </c>
      <c r="F440" t="inlineStr">
        <is>
          <t>桃園市龜山區明德路162巷-大同段748地號</t>
        </is>
      </c>
      <c r="G440" t="n">
        <v>24.991611</v>
      </c>
      <c r="H440" t="n">
        <v>121.340139</v>
      </c>
      <c r="I440" t="n">
        <v>16</v>
      </c>
      <c r="J440" t="n">
        <v>3</v>
      </c>
      <c r="K440" t="n">
        <v>332.9</v>
      </c>
      <c r="L440" t="inlineStr">
        <is>
          <t>Primary</t>
        </is>
      </c>
    </row>
    <row r="441">
      <c r="A441" t="n">
        <v>1</v>
      </c>
      <c r="B441" s="24" t="inlineStr">
        <is>
          <t>S04</t>
        </is>
      </c>
      <c r="C441" t="inlineStr">
        <is>
          <t>PZ-A</t>
        </is>
      </c>
      <c r="D441" t="n">
        <v>20</v>
      </c>
      <c r="E441" t="inlineStr">
        <is>
          <t>H0863</t>
        </is>
      </c>
      <c r="F441" t="inlineStr">
        <is>
          <t>桃園市龜山區明成街101巷與大同路281巷口</t>
        </is>
      </c>
      <c r="G441" t="n">
        <v>24.990636</v>
      </c>
      <c r="H441" t="n">
        <v>121.346719</v>
      </c>
      <c r="I441" t="n">
        <v>8</v>
      </c>
      <c r="J441" t="n">
        <v>3</v>
      </c>
      <c r="K441" t="n">
        <v>343.9</v>
      </c>
      <c r="L441" t="inlineStr">
        <is>
          <t>Primary</t>
        </is>
      </c>
    </row>
    <row r="442">
      <c r="A442" t="n">
        <v>1</v>
      </c>
      <c r="B442" s="24" t="inlineStr">
        <is>
          <t>S04</t>
        </is>
      </c>
      <c r="C442" t="inlineStr">
        <is>
          <t>PZ-A</t>
        </is>
      </c>
      <c r="D442" t="n">
        <v>21</v>
      </c>
      <c r="E442" t="inlineStr">
        <is>
          <t>H0875</t>
        </is>
      </c>
      <c r="F442" t="inlineStr">
        <is>
          <t>桃園市龜山區萬壽路二段601巷旁</t>
        </is>
      </c>
      <c r="G442" t="n">
        <v>24.997869</v>
      </c>
      <c r="H442" t="n">
        <v>121.34683</v>
      </c>
      <c r="I442" t="n">
        <v>16</v>
      </c>
      <c r="J442" t="n">
        <v>3</v>
      </c>
      <c r="K442" t="n">
        <v>362.9</v>
      </c>
      <c r="L442" t="inlineStr">
        <is>
          <t>Primary</t>
        </is>
      </c>
    </row>
    <row r="443">
      <c r="A443" t="n">
        <v>1</v>
      </c>
      <c r="B443" s="24" t="inlineStr">
        <is>
          <t>S04</t>
        </is>
      </c>
      <c r="C443" t="inlineStr">
        <is>
          <t>PZ-A</t>
        </is>
      </c>
      <c r="D443" t="n">
        <v>22</v>
      </c>
      <c r="E443" t="inlineStr">
        <is>
          <t>H0875</t>
        </is>
      </c>
      <c r="F443" t="inlineStr">
        <is>
          <t>桃園市龜山區萬壽路二段601巷旁</t>
        </is>
      </c>
      <c r="G443" t="n">
        <v>24.9980482</v>
      </c>
      <c r="H443" t="n">
        <v>121.3463596</v>
      </c>
      <c r="I443" t="n">
        <v>16</v>
      </c>
      <c r="J443" t="n">
        <v>2</v>
      </c>
      <c r="K443" t="n">
        <v>380.9</v>
      </c>
      <c r="L443" t="inlineStr">
        <is>
          <t>Primary</t>
        </is>
      </c>
    </row>
    <row r="444">
      <c r="A444" t="n">
        <v>1</v>
      </c>
      <c r="B444" s="24" t="inlineStr">
        <is>
          <t>S04</t>
        </is>
      </c>
      <c r="C444" t="inlineStr">
        <is>
          <t>PZ-A</t>
        </is>
      </c>
      <c r="D444" t="n">
        <v>23</v>
      </c>
      <c r="E444" t="inlineStr">
        <is>
          <t>H0860</t>
        </is>
      </c>
      <c r="F444" t="inlineStr">
        <is>
          <t>桃園市龜山區忠義路一段與楓樹七街交叉口-電聯定位</t>
        </is>
      </c>
      <c r="G444" t="n">
        <v>25.003656</v>
      </c>
      <c r="H444" t="n">
        <v>121.344539</v>
      </c>
      <c r="I444" t="n">
        <v>8</v>
      </c>
      <c r="J444" t="n">
        <v>3</v>
      </c>
      <c r="K444" t="n">
        <v>391.9</v>
      </c>
      <c r="L444" t="inlineStr">
        <is>
          <t>Primary</t>
        </is>
      </c>
    </row>
    <row r="445">
      <c r="A445" t="n">
        <v>1</v>
      </c>
      <c r="B445" s="24" t="inlineStr">
        <is>
          <t>S04</t>
        </is>
      </c>
      <c r="C445" t="inlineStr">
        <is>
          <t>PZ-A</t>
        </is>
      </c>
      <c r="D445" t="n">
        <v>24</v>
      </c>
      <c r="E445" t="inlineStr">
        <is>
          <t>H0558</t>
        </is>
      </c>
      <c r="F445" t="inlineStr">
        <is>
          <t>桃園市桃園區大有路85號 全國食材廣場有限公司</t>
        </is>
      </c>
      <c r="G445" t="n">
        <v>25.005472</v>
      </c>
      <c r="H445" t="n">
        <v>121.321798</v>
      </c>
      <c r="I445" t="n">
        <v>8</v>
      </c>
      <c r="J445" t="n">
        <v>5.5</v>
      </c>
      <c r="K445" t="n">
        <v>405.4</v>
      </c>
      <c r="L445" t="inlineStr">
        <is>
          <t>Primary</t>
        </is>
      </c>
    </row>
    <row r="446">
      <c r="A446" t="n">
        <v>1</v>
      </c>
      <c r="B446" s="24" t="inlineStr">
        <is>
          <t>S04</t>
        </is>
      </c>
      <c r="C446" t="inlineStr">
        <is>
          <t>PZ-A</t>
        </is>
      </c>
      <c r="D446" t="n">
        <v>25</v>
      </c>
      <c r="E446" t="inlineStr">
        <is>
          <t>H0564</t>
        </is>
      </c>
      <c r="F446" t="inlineStr">
        <is>
          <t>桃園市桃園區中央街293號對面</t>
        </is>
      </c>
      <c r="G446" t="n">
        <v>25.003528</v>
      </c>
      <c r="H446" t="n">
        <v>121.3147875</v>
      </c>
      <c r="I446" t="n">
        <v>16</v>
      </c>
      <c r="J446" t="n">
        <v>3</v>
      </c>
      <c r="K446" t="n">
        <v>424.4</v>
      </c>
      <c r="L446" t="inlineStr">
        <is>
          <t>Primary</t>
        </is>
      </c>
    </row>
    <row r="447">
      <c r="A447" t="n">
        <v>1</v>
      </c>
      <c r="B447" s="24" t="inlineStr">
        <is>
          <t>S04</t>
        </is>
      </c>
      <c r="C447" t="inlineStr">
        <is>
          <t>PZ-A</t>
        </is>
      </c>
      <c r="D447" t="n">
        <v>26</v>
      </c>
      <c r="E447" t="inlineStr">
        <is>
          <t>H0563</t>
        </is>
      </c>
      <c r="F447" t="inlineStr">
        <is>
          <t>桃園市桃園區中央街218號</t>
        </is>
      </c>
      <c r="G447" t="n">
        <v>25.002992</v>
      </c>
      <c r="H447" t="n">
        <v>121.314847</v>
      </c>
      <c r="I447" t="n">
        <v>8</v>
      </c>
      <c r="J447" t="n">
        <v>2</v>
      </c>
      <c r="K447" t="n">
        <v>434.4</v>
      </c>
      <c r="L447" t="inlineStr">
        <is>
          <t>Primary</t>
        </is>
      </c>
    </row>
    <row r="448">
      <c r="A448" t="n">
        <v>1</v>
      </c>
      <c r="B448" s="24" t="inlineStr">
        <is>
          <t>S04</t>
        </is>
      </c>
      <c r="C448" t="inlineStr">
        <is>
          <t>PZ-A</t>
        </is>
      </c>
      <c r="D448" t="n">
        <v>27</v>
      </c>
      <c r="E448" t="inlineStr">
        <is>
          <t>H0609</t>
        </is>
      </c>
      <c r="F448" t="inlineStr">
        <is>
          <t>桃園市桃園區朝陽街&amp;青溪二路交叉口工地</t>
        </is>
      </c>
      <c r="G448" t="n">
        <v>25.003694</v>
      </c>
      <c r="H448" t="n">
        <v>121.311472</v>
      </c>
      <c r="I448" t="n">
        <v>8</v>
      </c>
      <c r="J448" t="n">
        <v>3</v>
      </c>
      <c r="K448" t="n">
        <v>445.4</v>
      </c>
      <c r="L448" t="inlineStr">
        <is>
          <t>Primary</t>
        </is>
      </c>
    </row>
    <row r="449">
      <c r="A449" t="n">
        <v>1</v>
      </c>
      <c r="B449" s="24" t="inlineStr">
        <is>
          <t>S04</t>
        </is>
      </c>
      <c r="C449" t="inlineStr">
        <is>
          <t>PZ-A</t>
        </is>
      </c>
      <c r="D449" t="n">
        <v>28</v>
      </c>
      <c r="E449" t="inlineStr">
        <is>
          <t>H0610</t>
        </is>
      </c>
      <c r="F449" t="inlineStr">
        <is>
          <t>桃園市桃園區朝陽街506號旁工地</t>
        </is>
      </c>
      <c r="G449" t="n">
        <v>25.006319</v>
      </c>
      <c r="H449" t="n">
        <v>121.310553</v>
      </c>
      <c r="I449" t="n">
        <v>24</v>
      </c>
      <c r="J449" t="n">
        <v>3</v>
      </c>
      <c r="K449" t="n">
        <v>472.4</v>
      </c>
      <c r="L449" t="inlineStr">
        <is>
          <t>Primary</t>
        </is>
      </c>
    </row>
    <row r="450">
      <c r="A450" t="n">
        <v>1</v>
      </c>
      <c r="B450" s="24" t="inlineStr">
        <is>
          <t>S04</t>
        </is>
      </c>
      <c r="C450" t="inlineStr">
        <is>
          <t>PZ-A</t>
        </is>
      </c>
      <c r="D450" t="n">
        <v>29</v>
      </c>
      <c r="E450" t="inlineStr">
        <is>
          <t>H0611</t>
        </is>
      </c>
      <c r="F450" t="inlineStr">
        <is>
          <t>桃園市桃園區朝陽街508號</t>
        </is>
      </c>
      <c r="G450" t="n">
        <v>25.007781</v>
      </c>
      <c r="H450" t="n">
        <v>121.309925</v>
      </c>
      <c r="I450" t="n">
        <v>16</v>
      </c>
      <c r="J450" t="n">
        <v>3</v>
      </c>
      <c r="K450" t="n">
        <v>491.4</v>
      </c>
      <c r="L450" t="inlineStr">
        <is>
          <t>Primary</t>
        </is>
      </c>
    </row>
    <row r="451">
      <c r="A451" t="n">
        <v>1</v>
      </c>
      <c r="B451" s="24" t="inlineStr">
        <is>
          <t>S04</t>
        </is>
      </c>
      <c r="C451" t="inlineStr">
        <is>
          <t>PZ-A</t>
        </is>
      </c>
      <c r="D451" t="n">
        <v>30</v>
      </c>
      <c r="E451" t="inlineStr">
        <is>
          <t>H0616</t>
        </is>
      </c>
      <c r="F451" t="inlineStr">
        <is>
          <t>桃園市桃園區慈文路66號旁</t>
        </is>
      </c>
      <c r="G451" t="n">
        <v>25.010775</v>
      </c>
      <c r="H451" t="n">
        <v>121.3066</v>
      </c>
      <c r="I451" t="n">
        <v>8</v>
      </c>
      <c r="J451" t="n">
        <v>3</v>
      </c>
      <c r="K451" t="n">
        <v>502.4</v>
      </c>
      <c r="L451" t="inlineStr">
        <is>
          <t>Primary</t>
        </is>
      </c>
    </row>
    <row r="452">
      <c r="A452" t="n">
        <v>1</v>
      </c>
      <c r="B452" s="24" t="inlineStr">
        <is>
          <t>S04</t>
        </is>
      </c>
      <c r="C452" t="inlineStr">
        <is>
          <t>PZ-A</t>
        </is>
      </c>
      <c r="D452" t="n">
        <v>31</v>
      </c>
      <c r="E452" t="inlineStr">
        <is>
          <t>H0589</t>
        </is>
      </c>
      <c r="F452" t="inlineStr">
        <is>
          <t>桃園市桃園區同安街24號</t>
        </is>
      </c>
      <c r="G452" t="n">
        <v>25.011322</v>
      </c>
      <c r="H452" t="n">
        <v>121.305728</v>
      </c>
      <c r="I452" t="n">
        <v>8</v>
      </c>
      <c r="J452" t="n">
        <v>3</v>
      </c>
      <c r="K452" t="n">
        <v>513.4</v>
      </c>
      <c r="L452" t="inlineStr">
        <is>
          <t>Primary</t>
        </is>
      </c>
    </row>
    <row r="453">
      <c r="A453" t="n">
        <v>1</v>
      </c>
      <c r="B453" s="24" t="inlineStr">
        <is>
          <t>S04</t>
        </is>
      </c>
      <c r="C453" t="inlineStr">
        <is>
          <t>PZ-A</t>
        </is>
      </c>
      <c r="D453" t="n">
        <v>32</v>
      </c>
      <c r="E453" t="inlineStr">
        <is>
          <t>H0627</t>
        </is>
      </c>
      <c r="F453" t="inlineStr">
        <is>
          <t>桃園市桃園區雙峰路22號</t>
        </is>
      </c>
      <c r="G453" t="n">
        <v>25.012306</v>
      </c>
      <c r="H453" t="n">
        <v>121.310417</v>
      </c>
      <c r="I453" t="n">
        <v>8</v>
      </c>
      <c r="J453" t="n">
        <v>3</v>
      </c>
      <c r="K453" t="n">
        <v>524.4</v>
      </c>
      <c r="L453" t="inlineStr">
        <is>
          <t>Primary</t>
        </is>
      </c>
    </row>
    <row r="454">
      <c r="A454" t="n">
        <v>2</v>
      </c>
      <c r="B454" s="24" t="inlineStr">
        <is>
          <t>S04</t>
        </is>
      </c>
      <c r="C454" t="inlineStr">
        <is>
          <t>PZ-A</t>
        </is>
      </c>
      <c r="D454" t="n">
        <v>1</v>
      </c>
      <c r="E454" t="inlineStr">
        <is>
          <t>H0573</t>
        </is>
      </c>
      <c r="F454" t="inlineStr">
        <is>
          <t>桃園市桃園區文中一路與文中一路25巷交叉口</t>
        </is>
      </c>
      <c r="G454" t="n">
        <v>24.996472</v>
      </c>
      <c r="H454" t="n">
        <v>121.293164</v>
      </c>
      <c r="I454" t="n">
        <v>8</v>
      </c>
      <c r="J454" t="n">
        <v>12</v>
      </c>
      <c r="K454" t="n">
        <v>20</v>
      </c>
      <c r="L454" t="inlineStr">
        <is>
          <t>Primary</t>
        </is>
      </c>
    </row>
    <row r="455">
      <c r="A455" t="n">
        <v>2</v>
      </c>
      <c r="B455" s="24" t="inlineStr">
        <is>
          <t>S04</t>
        </is>
      </c>
      <c r="C455" t="inlineStr">
        <is>
          <t>PZ-A</t>
        </is>
      </c>
      <c r="D455" t="n">
        <v>2</v>
      </c>
      <c r="E455" t="inlineStr">
        <is>
          <t>H0598</t>
        </is>
      </c>
      <c r="F455" t="inlineStr">
        <is>
          <t>桃園市桃園區保定三街95號</t>
        </is>
      </c>
      <c r="G455" t="n">
        <v>24.998444</v>
      </c>
      <c r="H455" t="n">
        <v>121.297802</v>
      </c>
      <c r="I455" t="n">
        <v>16</v>
      </c>
      <c r="J455" t="n">
        <v>3</v>
      </c>
      <c r="K455" t="n">
        <v>39</v>
      </c>
      <c r="L455" t="inlineStr">
        <is>
          <t>Primary</t>
        </is>
      </c>
    </row>
    <row r="456">
      <c r="A456" t="n">
        <v>2</v>
      </c>
      <c r="B456" s="24" t="inlineStr">
        <is>
          <t>S04</t>
        </is>
      </c>
      <c r="C456" t="inlineStr">
        <is>
          <t>PZ-A</t>
        </is>
      </c>
      <c r="D456" t="n">
        <v>3</v>
      </c>
      <c r="E456" t="inlineStr">
        <is>
          <t>H0592</t>
        </is>
      </c>
      <c r="F456" t="inlineStr">
        <is>
          <t>桃園市桃園區孝一街96號旁工地</t>
        </is>
      </c>
      <c r="G456" t="n">
        <v>24.997083</v>
      </c>
      <c r="H456" t="n">
        <v>121.302389</v>
      </c>
      <c r="I456" t="n">
        <v>8</v>
      </c>
      <c r="J456" t="n">
        <v>3</v>
      </c>
      <c r="K456" t="n">
        <v>50</v>
      </c>
      <c r="L456" t="inlineStr">
        <is>
          <t>Primary</t>
        </is>
      </c>
    </row>
    <row r="457">
      <c r="A457" t="n">
        <v>2</v>
      </c>
      <c r="B457" s="24" t="inlineStr">
        <is>
          <t>S04</t>
        </is>
      </c>
      <c r="C457" t="inlineStr">
        <is>
          <t>PZ-A</t>
        </is>
      </c>
      <c r="D457" t="n">
        <v>4</v>
      </c>
      <c r="E457" t="inlineStr">
        <is>
          <t>H0618</t>
        </is>
      </c>
      <c r="F457" t="inlineStr">
        <is>
          <t>桃園市桃園區新生路110號旁</t>
        </is>
      </c>
      <c r="G457" t="n">
        <v>24.996727</v>
      </c>
      <c r="H457" t="n">
        <v>121.308439</v>
      </c>
      <c r="I457" t="n">
        <v>8</v>
      </c>
      <c r="J457" t="n">
        <v>3</v>
      </c>
      <c r="K457" t="n">
        <v>61</v>
      </c>
      <c r="L457" t="inlineStr">
        <is>
          <t>Primary</t>
        </is>
      </c>
    </row>
    <row r="458">
      <c r="A458" t="n">
        <v>2</v>
      </c>
      <c r="B458" s="24" t="inlineStr">
        <is>
          <t>S04</t>
        </is>
      </c>
      <c r="C458" t="inlineStr">
        <is>
          <t>PZ-A</t>
        </is>
      </c>
      <c r="D458" t="n">
        <v>5</v>
      </c>
      <c r="E458" t="inlineStr">
        <is>
          <t>H0561</t>
        </is>
      </c>
      <c r="F458" t="inlineStr">
        <is>
          <t>桃園市桃園區中山路222號-西廟</t>
        </is>
      </c>
      <c r="G458" t="n">
        <v>24.992897</v>
      </c>
      <c r="H458" t="n">
        <v>121.307775</v>
      </c>
      <c r="I458" t="n">
        <v>16</v>
      </c>
      <c r="J458" t="n">
        <v>3</v>
      </c>
      <c r="K458" t="n">
        <v>80</v>
      </c>
      <c r="L458" t="inlineStr">
        <is>
          <t>Primary</t>
        </is>
      </c>
    </row>
    <row r="459">
      <c r="A459" t="n">
        <v>2</v>
      </c>
      <c r="B459" s="24" t="inlineStr">
        <is>
          <t>S04</t>
        </is>
      </c>
      <c r="C459" t="inlineStr">
        <is>
          <t>PZ-A</t>
        </is>
      </c>
      <c r="D459" t="n">
        <v>6</v>
      </c>
      <c r="E459" t="inlineStr">
        <is>
          <t>H0599</t>
        </is>
      </c>
      <c r="F459" t="inlineStr">
        <is>
          <t>桃園市桃園區南華街130號</t>
        </is>
      </c>
      <c r="G459" t="n">
        <v>24.99218</v>
      </c>
      <c r="H459" t="n">
        <v>121.307706</v>
      </c>
      <c r="I459" t="n">
        <v>8</v>
      </c>
      <c r="J459" t="n">
        <v>2</v>
      </c>
      <c r="K459" t="n">
        <v>90</v>
      </c>
      <c r="L459" t="inlineStr">
        <is>
          <t>Primary</t>
        </is>
      </c>
    </row>
    <row r="460">
      <c r="A460" t="n">
        <v>2</v>
      </c>
      <c r="B460" s="24" t="inlineStr">
        <is>
          <t>S04</t>
        </is>
      </c>
      <c r="C460" t="inlineStr">
        <is>
          <t>PZ-A</t>
        </is>
      </c>
      <c r="D460" t="n">
        <v>7</v>
      </c>
      <c r="E460" t="inlineStr">
        <is>
          <t>H0612</t>
        </is>
      </c>
      <c r="F460" t="inlineStr">
        <is>
          <t>桃園市桃園區朝陽街一段92號</t>
        </is>
      </c>
      <c r="G460" t="n">
        <v>24.994436</v>
      </c>
      <c r="H460" t="n">
        <v>121.313897</v>
      </c>
      <c r="I460" t="n">
        <v>8</v>
      </c>
      <c r="J460" t="n">
        <v>3</v>
      </c>
      <c r="K460" t="n">
        <v>101</v>
      </c>
      <c r="L460" t="inlineStr">
        <is>
          <t>Primary</t>
        </is>
      </c>
    </row>
    <row r="461">
      <c r="A461" t="n">
        <v>2</v>
      </c>
      <c r="B461" s="24" t="inlineStr">
        <is>
          <t>S04</t>
        </is>
      </c>
      <c r="C461" t="inlineStr">
        <is>
          <t>PZ-A</t>
        </is>
      </c>
      <c r="D461" t="n">
        <v>8</v>
      </c>
      <c r="E461" t="inlineStr">
        <is>
          <t>H0559</t>
        </is>
      </c>
      <c r="F461" t="inlineStr">
        <is>
          <t>桃園市桃園區大林路&amp;延平路口-桃園火車站旁</t>
        </is>
      </c>
      <c r="G461" t="n">
        <v>24.988197</v>
      </c>
      <c r="H461" t="n">
        <v>121.313911</v>
      </c>
      <c r="I461" t="n">
        <v>24</v>
      </c>
      <c r="J461" t="n">
        <v>3</v>
      </c>
      <c r="K461" t="n">
        <v>128</v>
      </c>
      <c r="L461" t="inlineStr">
        <is>
          <t>Primary</t>
        </is>
      </c>
    </row>
    <row r="462">
      <c r="A462" t="n">
        <v>2</v>
      </c>
      <c r="B462" s="24" t="inlineStr">
        <is>
          <t>S04</t>
        </is>
      </c>
      <c r="C462" t="inlineStr">
        <is>
          <t>PZ-A</t>
        </is>
      </c>
      <c r="D462" t="n">
        <v>9</v>
      </c>
      <c r="E462" t="inlineStr">
        <is>
          <t>H0560</t>
        </is>
      </c>
      <c r="F462" t="inlineStr">
        <is>
          <t>桃園市桃園區大智路11號旁邊工地</t>
        </is>
      </c>
      <c r="G462" t="n">
        <v>24.979359</v>
      </c>
      <c r="H462" t="n">
        <v>121.325217</v>
      </c>
      <c r="I462" t="n">
        <v>8</v>
      </c>
      <c r="J462" t="n">
        <v>3.6</v>
      </c>
      <c r="K462" t="n">
        <v>139.6</v>
      </c>
      <c r="L462" t="inlineStr">
        <is>
          <t>Primary</t>
        </is>
      </c>
    </row>
    <row r="463">
      <c r="A463" t="n">
        <v>2</v>
      </c>
      <c r="B463" s="24" t="inlineStr">
        <is>
          <t>S04</t>
        </is>
      </c>
      <c r="C463" t="inlineStr">
        <is>
          <t>PZ-A</t>
        </is>
      </c>
      <c r="D463" t="n">
        <v>10</v>
      </c>
      <c r="E463" t="inlineStr">
        <is>
          <t>H0554</t>
        </is>
      </c>
      <c r="F463" t="inlineStr">
        <is>
          <t>桃園市桃園區(鶯歌區)鶯桃路２段58號</t>
        </is>
      </c>
      <c r="G463" t="n">
        <v>24.9729685</v>
      </c>
      <c r="H463" t="n">
        <v>121.3247295</v>
      </c>
      <c r="I463" t="n">
        <v>16</v>
      </c>
      <c r="J463" t="n">
        <v>3</v>
      </c>
      <c r="K463" t="n">
        <v>158.6</v>
      </c>
      <c r="L463" t="inlineStr">
        <is>
          <t>Primary</t>
        </is>
      </c>
    </row>
    <row r="464">
      <c r="A464" t="n">
        <v>2</v>
      </c>
      <c r="B464" s="24" t="inlineStr">
        <is>
          <t>S04</t>
        </is>
      </c>
      <c r="C464" t="inlineStr">
        <is>
          <t>PZ-A</t>
        </is>
      </c>
      <c r="D464" t="n">
        <v>11</v>
      </c>
      <c r="E464" t="inlineStr">
        <is>
          <t>H0837</t>
        </is>
      </c>
      <c r="F464" t="inlineStr">
        <is>
          <t>桃園市龜山區大棟山路111號</t>
        </is>
      </c>
      <c r="G464" t="n">
        <v>24.991502</v>
      </c>
      <c r="H464" t="n">
        <v>121.372973</v>
      </c>
      <c r="I464" t="n">
        <v>16</v>
      </c>
      <c r="J464" t="n">
        <v>12.7</v>
      </c>
      <c r="K464" t="n">
        <v>187.3</v>
      </c>
      <c r="L464" t="inlineStr">
        <is>
          <t>Primary</t>
        </is>
      </c>
    </row>
    <row r="465">
      <c r="A465" t="n">
        <v>2</v>
      </c>
      <c r="B465" s="24" t="inlineStr">
        <is>
          <t>S04</t>
        </is>
      </c>
      <c r="C465" t="inlineStr">
        <is>
          <t>PZ-A</t>
        </is>
      </c>
      <c r="D465" t="n">
        <v>12</v>
      </c>
      <c r="E465" t="inlineStr">
        <is>
          <t>H0872</t>
        </is>
      </c>
      <c r="F465" t="inlineStr">
        <is>
          <t>桃園市龜山區華亞一路&amp;科技九路交叉口工地</t>
        </is>
      </c>
      <c r="G465" t="n">
        <v>25.033164</v>
      </c>
      <c r="H465" t="n">
        <v>121.371536</v>
      </c>
      <c r="I465" t="n">
        <v>96</v>
      </c>
      <c r="J465" t="n">
        <v>11.1</v>
      </c>
      <c r="K465" t="n">
        <v>294.4</v>
      </c>
      <c r="L465" t="inlineStr">
        <is>
          <t>Primary</t>
        </is>
      </c>
    </row>
    <row r="466">
      <c r="A466" t="n">
        <v>2</v>
      </c>
      <c r="B466" s="24" t="inlineStr">
        <is>
          <t>S04</t>
        </is>
      </c>
      <c r="C466" t="inlineStr">
        <is>
          <t>PZ-A</t>
        </is>
      </c>
      <c r="D466" t="n">
        <v>13</v>
      </c>
      <c r="E466" t="inlineStr">
        <is>
          <t>H0873</t>
        </is>
      </c>
      <c r="F466" t="inlineStr">
        <is>
          <t>桃園市龜山區華亞一路&amp;科技九路交叉口工地-追加</t>
        </is>
      </c>
      <c r="G466" t="n">
        <v>25.034067</v>
      </c>
      <c r="H466" t="n">
        <v>121.3732349</v>
      </c>
      <c r="I466" t="n">
        <v>16</v>
      </c>
      <c r="J466" t="n">
        <v>3</v>
      </c>
      <c r="K466" t="n">
        <v>313.4</v>
      </c>
      <c r="L466" t="inlineStr">
        <is>
          <t>Primary</t>
        </is>
      </c>
    </row>
    <row r="467">
      <c r="A467" t="n">
        <v>2</v>
      </c>
      <c r="B467" s="24" t="inlineStr">
        <is>
          <t>S04</t>
        </is>
      </c>
      <c r="C467" t="inlineStr">
        <is>
          <t>PZ-A</t>
        </is>
      </c>
      <c r="D467" t="n">
        <v>14</v>
      </c>
      <c r="E467" t="inlineStr">
        <is>
          <t>H0871</t>
        </is>
      </c>
      <c r="F467" t="inlineStr">
        <is>
          <t>桃園市龜山區頂湖路72號(頂湖超高壓變電所)</t>
        </is>
      </c>
      <c r="G467" t="n">
        <v>25.0343</v>
      </c>
      <c r="H467" t="n">
        <v>121.362003</v>
      </c>
      <c r="I467" t="n">
        <v>32</v>
      </c>
      <c r="J467" t="n">
        <v>3</v>
      </c>
      <c r="K467" t="n">
        <v>348.4</v>
      </c>
      <c r="L467" t="inlineStr">
        <is>
          <t>Primary</t>
        </is>
      </c>
    </row>
    <row r="468">
      <c r="A468" t="n">
        <v>2</v>
      </c>
      <c r="B468" s="24" t="inlineStr">
        <is>
          <t>S04</t>
        </is>
      </c>
      <c r="C468" t="inlineStr">
        <is>
          <t>PZ-A</t>
        </is>
      </c>
      <c r="D468" t="n">
        <v>15</v>
      </c>
      <c r="E468" t="inlineStr">
        <is>
          <t>H0862</t>
        </is>
      </c>
      <c r="F468" t="inlineStr">
        <is>
          <t>桃園市龜山區忠義路二段311巷5弄-長堤天昀建築基地</t>
        </is>
      </c>
      <c r="G468" t="n">
        <v>25.046464</v>
      </c>
      <c r="H468" t="n">
        <v>121.357644</v>
      </c>
      <c r="I468" t="n">
        <v>8</v>
      </c>
      <c r="J468" t="n">
        <v>3.4</v>
      </c>
      <c r="K468" t="n">
        <v>359.8</v>
      </c>
      <c r="L468" t="inlineStr">
        <is>
          <t>Primary</t>
        </is>
      </c>
    </row>
    <row r="469">
      <c r="A469" t="n">
        <v>2</v>
      </c>
      <c r="B469" s="24" t="inlineStr">
        <is>
          <t>S04</t>
        </is>
      </c>
      <c r="C469" t="inlineStr">
        <is>
          <t>PZ-A</t>
        </is>
      </c>
      <c r="D469" t="n">
        <v>16</v>
      </c>
      <c r="E469" t="inlineStr">
        <is>
          <t>H0838</t>
        </is>
      </c>
      <c r="F469" t="inlineStr">
        <is>
          <t>桃園市龜山區大湖一路135號旁</t>
        </is>
      </c>
      <c r="G469" t="n">
        <v>25.053528</v>
      </c>
      <c r="H469" t="n">
        <v>121.356439</v>
      </c>
      <c r="I469" t="n">
        <v>16</v>
      </c>
      <c r="J469" t="n">
        <v>3</v>
      </c>
      <c r="K469" t="n">
        <v>378.8</v>
      </c>
      <c r="L469" t="inlineStr">
        <is>
          <t>Primary</t>
        </is>
      </c>
    </row>
    <row r="470">
      <c r="A470" t="n">
        <v>2</v>
      </c>
      <c r="B470" s="24" t="inlineStr">
        <is>
          <t>S04</t>
        </is>
      </c>
      <c r="C470" t="inlineStr">
        <is>
          <t>PZ-A</t>
        </is>
      </c>
      <c r="D470" t="n">
        <v>17</v>
      </c>
      <c r="E470" t="inlineStr">
        <is>
          <t>H0839</t>
        </is>
      </c>
      <c r="F470" t="inlineStr">
        <is>
          <t>桃園市龜山區大湖路78號之16</t>
        </is>
      </c>
      <c r="G470" t="n">
        <v>25.052994</v>
      </c>
      <c r="H470" t="n">
        <v>121.354322</v>
      </c>
      <c r="I470" t="n">
        <v>8</v>
      </c>
      <c r="J470" t="n">
        <v>3</v>
      </c>
      <c r="K470" t="n">
        <v>389.8</v>
      </c>
      <c r="L470" t="inlineStr">
        <is>
          <t>Primary</t>
        </is>
      </c>
    </row>
    <row r="471">
      <c r="A471" t="n">
        <v>2</v>
      </c>
      <c r="B471" s="24" t="inlineStr">
        <is>
          <t>S04</t>
        </is>
      </c>
      <c r="C471" t="inlineStr">
        <is>
          <t>PZ-A</t>
        </is>
      </c>
      <c r="D471" t="n">
        <v>18</v>
      </c>
      <c r="E471" t="inlineStr">
        <is>
          <t>H0852</t>
        </is>
      </c>
      <c r="F471" t="inlineStr">
        <is>
          <t>桃園市龜山區文化三路67號-興華段接待中心</t>
        </is>
      </c>
      <c r="G471" t="n">
        <v>25.058736</v>
      </c>
      <c r="H471" t="n">
        <v>121.36305</v>
      </c>
      <c r="I471" t="n">
        <v>8</v>
      </c>
      <c r="J471" t="n">
        <v>3</v>
      </c>
      <c r="K471" t="n">
        <v>400.8</v>
      </c>
      <c r="L471" t="inlineStr">
        <is>
          <t>Primary</t>
        </is>
      </c>
    </row>
    <row r="472">
      <c r="A472" t="n">
        <v>2</v>
      </c>
      <c r="B472" s="24" t="inlineStr">
        <is>
          <t>S04</t>
        </is>
      </c>
      <c r="C472" t="inlineStr">
        <is>
          <t>PZ-A</t>
        </is>
      </c>
      <c r="D472" t="n">
        <v>19</v>
      </c>
      <c r="E472" t="inlineStr">
        <is>
          <t>H0850</t>
        </is>
      </c>
      <c r="F472" t="inlineStr">
        <is>
          <t>桃園市龜山區文化七路181巷31弄27號</t>
        </is>
      </c>
      <c r="G472" t="n">
        <v>25.052692</v>
      </c>
      <c r="H472" t="n">
        <v>121.366333</v>
      </c>
      <c r="I472" t="n">
        <v>8</v>
      </c>
      <c r="J472" t="n">
        <v>3</v>
      </c>
      <c r="K472" t="n">
        <v>411.8</v>
      </c>
      <c r="L472" t="inlineStr">
        <is>
          <t>Primary</t>
        </is>
      </c>
    </row>
    <row r="473">
      <c r="A473" t="n">
        <v>2</v>
      </c>
      <c r="B473" s="24" t="inlineStr">
        <is>
          <t>S04</t>
        </is>
      </c>
      <c r="C473" t="inlineStr">
        <is>
          <t>PZ-A</t>
        </is>
      </c>
      <c r="D473" t="n">
        <v>20</v>
      </c>
      <c r="E473" t="inlineStr">
        <is>
          <t>H0847</t>
        </is>
      </c>
      <c r="F473" t="inlineStr">
        <is>
          <t>桃園市龜山區文化一路86-26號</t>
        </is>
      </c>
      <c r="G473" t="n">
        <v>25.053411</v>
      </c>
      <c r="H473" t="n">
        <v>121.376856</v>
      </c>
      <c r="I473" t="n">
        <v>17</v>
      </c>
      <c r="J473" t="n">
        <v>3</v>
      </c>
      <c r="K473" t="n">
        <v>431.8</v>
      </c>
      <c r="L473" t="inlineStr">
        <is>
          <t>Primary</t>
        </is>
      </c>
    </row>
    <row r="474">
      <c r="A474" t="n">
        <v>2</v>
      </c>
      <c r="B474" s="24" t="inlineStr">
        <is>
          <t>S04</t>
        </is>
      </c>
      <c r="C474" t="inlineStr">
        <is>
          <t>PZ-A</t>
        </is>
      </c>
      <c r="D474" t="n">
        <v>21</v>
      </c>
      <c r="E474" t="inlineStr">
        <is>
          <t>H0878</t>
        </is>
      </c>
      <c r="F474" t="inlineStr">
        <is>
          <t>桃園市龜山區樂學路&amp;樂學一路交叉口</t>
        </is>
      </c>
      <c r="G474" t="n">
        <v>25.053</v>
      </c>
      <c r="H474" t="n">
        <v>121.385139</v>
      </c>
      <c r="I474" t="n">
        <v>8</v>
      </c>
      <c r="J474" t="n">
        <v>3</v>
      </c>
      <c r="K474" t="n">
        <v>442.8</v>
      </c>
      <c r="L474" t="inlineStr">
        <is>
          <t>Primary</t>
        </is>
      </c>
    </row>
    <row r="475">
      <c r="A475" t="n">
        <v>2</v>
      </c>
      <c r="B475" s="24" t="inlineStr">
        <is>
          <t>S04</t>
        </is>
      </c>
      <c r="C475" t="inlineStr">
        <is>
          <t>PZ-A</t>
        </is>
      </c>
      <c r="D475" t="n">
        <v>22</v>
      </c>
      <c r="E475" t="inlineStr">
        <is>
          <t>H0877</t>
        </is>
      </c>
      <c r="F475" t="inlineStr">
        <is>
          <t>桃園市龜山區樂善二路778號</t>
        </is>
      </c>
      <c r="G475" t="n">
        <v>25.045997</v>
      </c>
      <c r="H475" t="n">
        <v>121.390708</v>
      </c>
      <c r="I475" t="n">
        <v>8</v>
      </c>
      <c r="J475" t="n">
        <v>3</v>
      </c>
      <c r="K475" t="n">
        <v>453.8</v>
      </c>
      <c r="L475" t="inlineStr">
        <is>
          <t>Primary</t>
        </is>
      </c>
    </row>
    <row r="476">
      <c r="A476" t="n">
        <v>2</v>
      </c>
      <c r="B476" s="24" t="inlineStr">
        <is>
          <t>S04</t>
        </is>
      </c>
      <c r="C476" t="inlineStr">
        <is>
          <t>PZ-A</t>
        </is>
      </c>
      <c r="D476" t="n">
        <v>23</v>
      </c>
      <c r="E476" t="inlineStr">
        <is>
          <t>H0844</t>
        </is>
      </c>
      <c r="F476" t="inlineStr">
        <is>
          <t>桃園市龜山區文工一路298巷29號旁</t>
        </is>
      </c>
      <c r="G476" t="n">
        <v>25.050867</v>
      </c>
      <c r="H476" t="n">
        <v>121.3947</v>
      </c>
      <c r="I476" t="n">
        <v>8</v>
      </c>
      <c r="J476" t="n">
        <v>3</v>
      </c>
      <c r="K476" t="n">
        <v>464.8</v>
      </c>
      <c r="L476" t="inlineStr">
        <is>
          <t>Primary</t>
        </is>
      </c>
    </row>
    <row r="477">
      <c r="A477" t="n">
        <v>2</v>
      </c>
      <c r="B477" s="24" t="inlineStr">
        <is>
          <t>S04</t>
        </is>
      </c>
      <c r="C477" t="inlineStr">
        <is>
          <t>PZ-A</t>
        </is>
      </c>
      <c r="D477" t="n">
        <v>24</v>
      </c>
      <c r="E477" t="inlineStr">
        <is>
          <t>H0937</t>
        </is>
      </c>
      <c r="F477" t="inlineStr">
        <is>
          <t>桃園市蘆竹區赤塗路512巷附近</t>
        </is>
      </c>
      <c r="G477" t="n">
        <v>25.071289</v>
      </c>
      <c r="H477" t="n">
        <v>121.323184</v>
      </c>
      <c r="I477" t="n">
        <v>16</v>
      </c>
      <c r="J477" t="n">
        <v>18.1</v>
      </c>
      <c r="K477" t="n">
        <v>499</v>
      </c>
      <c r="L477" t="inlineStr">
        <is>
          <t>Primary</t>
        </is>
      </c>
    </row>
    <row r="478">
      <c r="A478" t="n">
        <v>2</v>
      </c>
      <c r="B478" s="24" t="inlineStr">
        <is>
          <t>S04</t>
        </is>
      </c>
      <c r="C478" t="inlineStr">
        <is>
          <t>PZ-A</t>
        </is>
      </c>
      <c r="D478" t="n">
        <v>25</v>
      </c>
      <c r="E478" t="inlineStr">
        <is>
          <t>H0911</t>
        </is>
      </c>
      <c r="F478" t="inlineStr">
        <is>
          <t>桃園市蘆竹區山外路-後坑段1012地號-附地標</t>
        </is>
      </c>
      <c r="G478" t="n">
        <v>25.081767</v>
      </c>
      <c r="H478" t="n">
        <v>121.294827</v>
      </c>
      <c r="I478" t="n">
        <v>8</v>
      </c>
      <c r="J478" t="n">
        <v>7.4</v>
      </c>
      <c r="K478" t="n">
        <v>514.4</v>
      </c>
      <c r="L478" t="inlineStr">
        <is>
          <t>Primary</t>
        </is>
      </c>
    </row>
    <row r="479">
      <c r="A479" t="n">
        <v>3</v>
      </c>
      <c r="B479" s="24" t="inlineStr">
        <is>
          <t>S04</t>
        </is>
      </c>
      <c r="C479" t="inlineStr">
        <is>
          <t>PZ-A</t>
        </is>
      </c>
      <c r="D479" t="n">
        <v>1</v>
      </c>
      <c r="E479" t="inlineStr">
        <is>
          <t>H0125</t>
        </is>
      </c>
      <c r="F479" t="inlineStr">
        <is>
          <t>桃園市大園區大園重劃區-五結段23-23-1地號-附地標</t>
        </is>
      </c>
      <c r="G479" t="n">
        <v>25.033078</v>
      </c>
      <c r="H479" t="n">
        <v>121.228486</v>
      </c>
      <c r="I479" t="n">
        <v>8</v>
      </c>
      <c r="J479" t="n">
        <v>14</v>
      </c>
      <c r="K479" t="n">
        <v>22</v>
      </c>
      <c r="L479" t="inlineStr">
        <is>
          <t>Primary</t>
        </is>
      </c>
    </row>
    <row r="480">
      <c r="A480" t="n">
        <v>3</v>
      </c>
      <c r="B480" s="24" t="inlineStr">
        <is>
          <t>S04</t>
        </is>
      </c>
      <c r="C480" t="inlineStr">
        <is>
          <t>PZ-A</t>
        </is>
      </c>
      <c r="D480" t="n">
        <v>2</v>
      </c>
      <c r="E480" t="inlineStr">
        <is>
          <t>H0170</t>
        </is>
      </c>
      <c r="F480" t="inlineStr">
        <is>
          <t>桃園市大園區中正東路二段227巷35號</t>
        </is>
      </c>
      <c r="G480" t="n">
        <v>25.033655</v>
      </c>
      <c r="H480" t="n">
        <v>121.229131</v>
      </c>
      <c r="I480" t="n">
        <v>8</v>
      </c>
      <c r="J480" t="n">
        <v>2</v>
      </c>
      <c r="K480" t="n">
        <v>32</v>
      </c>
      <c r="L480" t="inlineStr">
        <is>
          <t>Primary</t>
        </is>
      </c>
    </row>
    <row r="481">
      <c r="A481" t="n">
        <v>3</v>
      </c>
      <c r="B481" s="24" t="inlineStr">
        <is>
          <t>S04</t>
        </is>
      </c>
      <c r="C481" t="inlineStr">
        <is>
          <t>PZ-A</t>
        </is>
      </c>
      <c r="D481" t="n">
        <v>3</v>
      </c>
      <c r="E481" t="inlineStr">
        <is>
          <t>H0162</t>
        </is>
      </c>
      <c r="F481" t="inlineStr">
        <is>
          <t>桃園市大園區中正東路一段189巷97之10號-航空城</t>
        </is>
      </c>
      <c r="G481" t="n">
        <v>25.045827</v>
      </c>
      <c r="H481" t="n">
        <v>121.225853</v>
      </c>
      <c r="I481" t="n">
        <v>8</v>
      </c>
      <c r="J481" t="n">
        <v>3.3</v>
      </c>
      <c r="K481" t="n">
        <v>43.4</v>
      </c>
      <c r="L481" t="inlineStr">
        <is>
          <t>Primary</t>
        </is>
      </c>
    </row>
    <row r="482">
      <c r="A482" t="n">
        <v>3</v>
      </c>
      <c r="B482" s="24" t="inlineStr">
        <is>
          <t>S04</t>
        </is>
      </c>
      <c r="C482" t="inlineStr">
        <is>
          <t>PZ-A</t>
        </is>
      </c>
      <c r="D482" t="n">
        <v>4</v>
      </c>
      <c r="E482" t="inlineStr">
        <is>
          <t>H0262</t>
        </is>
      </c>
      <c r="F482" t="inlineStr">
        <is>
          <t>桃園市大園區橫埔段277-282地號-大園重劃區</t>
        </is>
      </c>
      <c r="G482" t="n">
        <v>25.046608</v>
      </c>
      <c r="H482" t="n">
        <v>121.226798</v>
      </c>
      <c r="I482" t="n">
        <v>8</v>
      </c>
      <c r="J482" t="n">
        <v>3</v>
      </c>
      <c r="K482" t="n">
        <v>54.4</v>
      </c>
      <c r="L482" t="inlineStr">
        <is>
          <t>Primary</t>
        </is>
      </c>
    </row>
    <row r="483">
      <c r="A483" t="n">
        <v>3</v>
      </c>
      <c r="B483" s="24" t="inlineStr">
        <is>
          <t>S04</t>
        </is>
      </c>
      <c r="C483" t="inlineStr">
        <is>
          <t>PZ-A</t>
        </is>
      </c>
      <c r="D483" t="n">
        <v>5</v>
      </c>
      <c r="E483" t="inlineStr">
        <is>
          <t>H0148</t>
        </is>
      </c>
      <c r="F483" t="inlineStr">
        <is>
          <t>桃園市大園區中正東路１段438之1號-大園重劃區</t>
        </is>
      </c>
      <c r="G483" t="n">
        <v>25.047527</v>
      </c>
      <c r="H483" t="n">
        <v>121.227456</v>
      </c>
      <c r="I483" t="n">
        <v>8</v>
      </c>
      <c r="J483" t="n">
        <v>3</v>
      </c>
      <c r="K483" t="n">
        <v>65.40000000000001</v>
      </c>
      <c r="L483" t="inlineStr">
        <is>
          <t>Primary</t>
        </is>
      </c>
    </row>
    <row r="484">
      <c r="A484" t="n">
        <v>3</v>
      </c>
      <c r="B484" s="24" t="inlineStr">
        <is>
          <t>S04</t>
        </is>
      </c>
      <c r="C484" t="inlineStr">
        <is>
          <t>PZ-A</t>
        </is>
      </c>
      <c r="D484" t="n">
        <v>6</v>
      </c>
      <c r="E484" t="inlineStr">
        <is>
          <t>H0154</t>
        </is>
      </c>
      <c r="F484" t="inlineStr">
        <is>
          <t>桃園市大園區中正東路一段189巷139號-附地標</t>
        </is>
      </c>
      <c r="G484" t="n">
        <v>25.0476</v>
      </c>
      <c r="H484" t="n">
        <v>121.227417</v>
      </c>
      <c r="I484" t="n">
        <v>8</v>
      </c>
      <c r="J484" t="n">
        <v>2</v>
      </c>
      <c r="K484" t="n">
        <v>75.40000000000001</v>
      </c>
      <c r="L484" t="inlineStr">
        <is>
          <t>Primary</t>
        </is>
      </c>
    </row>
    <row r="485">
      <c r="A485" t="n">
        <v>3</v>
      </c>
      <c r="B485" s="24" t="inlineStr">
        <is>
          <t>S04</t>
        </is>
      </c>
      <c r="C485" t="inlineStr">
        <is>
          <t>PZ-A</t>
        </is>
      </c>
      <c r="D485" t="n">
        <v>7</v>
      </c>
      <c r="E485" t="inlineStr">
        <is>
          <t>H0129</t>
        </is>
      </c>
      <c r="F485" t="inlineStr">
        <is>
          <t>桃園市大園區大園重劃區-橫埔段146147地號-電聯定位</t>
        </is>
      </c>
      <c r="G485" t="n">
        <v>25.047666</v>
      </c>
      <c r="H485" t="n">
        <v>121.227734</v>
      </c>
      <c r="I485" t="n">
        <v>8</v>
      </c>
      <c r="J485" t="n">
        <v>2</v>
      </c>
      <c r="K485" t="n">
        <v>85.40000000000001</v>
      </c>
      <c r="L485" t="inlineStr">
        <is>
          <t>Primary</t>
        </is>
      </c>
    </row>
    <row r="486">
      <c r="A486" t="n">
        <v>3</v>
      </c>
      <c r="B486" s="24" t="inlineStr">
        <is>
          <t>S04</t>
        </is>
      </c>
      <c r="C486" t="inlineStr">
        <is>
          <t>PZ-A</t>
        </is>
      </c>
      <c r="D486" t="n">
        <v>8</v>
      </c>
      <c r="E486" t="inlineStr">
        <is>
          <t>H0161</t>
        </is>
      </c>
      <c r="F486" t="inlineStr">
        <is>
          <t>桃園市大園區中正東路一段189巷83號-航空城-橫埔段64-67地號</t>
        </is>
      </c>
      <c r="G486" t="n">
        <v>25.047861</v>
      </c>
      <c r="H486" t="n">
        <v>121.228111</v>
      </c>
      <c r="I486" t="n">
        <v>8</v>
      </c>
      <c r="J486" t="n">
        <v>2</v>
      </c>
      <c r="K486" t="n">
        <v>95.40000000000001</v>
      </c>
      <c r="L486" t="inlineStr">
        <is>
          <t>Primary</t>
        </is>
      </c>
    </row>
    <row r="487">
      <c r="A487" t="n">
        <v>3</v>
      </c>
      <c r="B487" s="24" t="inlineStr">
        <is>
          <t>S04</t>
        </is>
      </c>
      <c r="C487" t="inlineStr">
        <is>
          <t>PZ-A</t>
        </is>
      </c>
      <c r="D487" t="n">
        <v>9</v>
      </c>
      <c r="E487" t="inlineStr">
        <is>
          <t>H0165</t>
        </is>
      </c>
      <c r="F487" t="inlineStr">
        <is>
          <t>桃園市大園區中正東路一段189巷-航空城-橫埔段37~39地號</t>
        </is>
      </c>
      <c r="G487" t="n">
        <v>25.048322</v>
      </c>
      <c r="H487" t="n">
        <v>121.227978</v>
      </c>
      <c r="I487" t="n">
        <v>8</v>
      </c>
      <c r="J487" t="n">
        <v>2</v>
      </c>
      <c r="K487" t="n">
        <v>105.4</v>
      </c>
      <c r="L487" t="inlineStr">
        <is>
          <t>Primary</t>
        </is>
      </c>
    </row>
    <row r="488">
      <c r="A488" t="n">
        <v>3</v>
      </c>
      <c r="B488" s="24" t="inlineStr">
        <is>
          <t>S04</t>
        </is>
      </c>
      <c r="C488" t="inlineStr">
        <is>
          <t>PZ-A</t>
        </is>
      </c>
      <c r="D488" t="n">
        <v>10</v>
      </c>
      <c r="E488" t="inlineStr">
        <is>
          <t>H0164</t>
        </is>
      </c>
      <c r="F488" t="inlineStr">
        <is>
          <t>桃園市大園區中正東路一段189巷-航空城-橫埔段341~345地號</t>
        </is>
      </c>
      <c r="G488" t="n">
        <v>25.048964</v>
      </c>
      <c r="H488" t="n">
        <v>121.227895</v>
      </c>
      <c r="I488" t="n">
        <v>8</v>
      </c>
      <c r="J488" t="n">
        <v>2</v>
      </c>
      <c r="K488" t="n">
        <v>115.4</v>
      </c>
      <c r="L488" t="inlineStr">
        <is>
          <t>Primary</t>
        </is>
      </c>
    </row>
    <row r="489">
      <c r="A489" t="n">
        <v>3</v>
      </c>
      <c r="B489" s="24" t="inlineStr">
        <is>
          <t>S04</t>
        </is>
      </c>
      <c r="C489" t="inlineStr">
        <is>
          <t>PZ-A</t>
        </is>
      </c>
      <c r="D489" t="n">
        <v>11</v>
      </c>
      <c r="E489" t="inlineStr">
        <is>
          <t>H0232</t>
        </is>
      </c>
      <c r="F489" t="inlineStr">
        <is>
          <t>桃園市大園區桃航三路&amp;大海路路口</t>
        </is>
      </c>
      <c r="G489" t="n">
        <v>25.049016</v>
      </c>
      <c r="H489" t="n">
        <v>121.230264</v>
      </c>
      <c r="I489" t="n">
        <v>8</v>
      </c>
      <c r="J489" t="n">
        <v>3</v>
      </c>
      <c r="K489" t="n">
        <v>126.4</v>
      </c>
      <c r="L489" t="inlineStr">
        <is>
          <t>Primary</t>
        </is>
      </c>
    </row>
    <row r="490">
      <c r="A490" t="n">
        <v>3</v>
      </c>
      <c r="B490" s="24" t="inlineStr">
        <is>
          <t>S04</t>
        </is>
      </c>
      <c r="C490" t="inlineStr">
        <is>
          <t>PZ-A</t>
        </is>
      </c>
      <c r="D490" t="n">
        <v>12</v>
      </c>
      <c r="E490" t="inlineStr">
        <is>
          <t>H0934</t>
        </is>
      </c>
      <c r="F490" t="inlineStr">
        <is>
          <t>桃園市蘆竹區宏竹路101巷130號附近</t>
        </is>
      </c>
      <c r="G490" t="n">
        <v>25.04850485714286</v>
      </c>
      <c r="H490" t="n">
        <v>121.238486</v>
      </c>
      <c r="I490" t="n">
        <v>56</v>
      </c>
      <c r="J490" t="n">
        <v>3</v>
      </c>
      <c r="K490" t="n">
        <v>185.4</v>
      </c>
      <c r="L490" t="inlineStr">
        <is>
          <t>Primary</t>
        </is>
      </c>
    </row>
    <row r="491">
      <c r="A491" t="n">
        <v>3</v>
      </c>
      <c r="B491" s="24" t="inlineStr">
        <is>
          <t>S04</t>
        </is>
      </c>
      <c r="C491" t="inlineStr">
        <is>
          <t>PZ-A</t>
        </is>
      </c>
      <c r="D491" t="n">
        <v>13</v>
      </c>
      <c r="E491" t="inlineStr">
        <is>
          <t>H0119</t>
        </is>
      </c>
      <c r="F491" t="inlineStr">
        <is>
          <t>桃園市大園區大海里福海段745-746地號-大園重劃區-附地標</t>
        </is>
      </c>
      <c r="G491" t="n">
        <v>25.049444</v>
      </c>
      <c r="H491" t="n">
        <v>121.239989</v>
      </c>
      <c r="I491" t="n">
        <v>8</v>
      </c>
      <c r="J491" t="n">
        <v>3</v>
      </c>
      <c r="K491" t="n">
        <v>196.4</v>
      </c>
      <c r="L491" t="inlineStr">
        <is>
          <t>Primary</t>
        </is>
      </c>
    </row>
    <row r="492">
      <c r="A492" t="n">
        <v>3</v>
      </c>
      <c r="B492" s="24" t="inlineStr">
        <is>
          <t>S04</t>
        </is>
      </c>
      <c r="C492" t="inlineStr">
        <is>
          <t>PZ-A</t>
        </is>
      </c>
      <c r="D492" t="n">
        <v>14</v>
      </c>
      <c r="E492" t="inlineStr">
        <is>
          <t>H0121</t>
        </is>
      </c>
      <c r="F492" t="inlineStr">
        <is>
          <t>桃園市大園區大海里福海段841地號-附地標-大園重劃區</t>
        </is>
      </c>
      <c r="G492" t="n">
        <v>25.048666</v>
      </c>
      <c r="H492" t="n">
        <v>121.240614</v>
      </c>
      <c r="I492" t="n">
        <v>8</v>
      </c>
      <c r="J492" t="n">
        <v>3</v>
      </c>
      <c r="K492" t="n">
        <v>207.4</v>
      </c>
      <c r="L492" t="inlineStr">
        <is>
          <t>Primary</t>
        </is>
      </c>
    </row>
    <row r="493">
      <c r="A493" t="n">
        <v>3</v>
      </c>
      <c r="B493" s="24" t="inlineStr">
        <is>
          <t>S04</t>
        </is>
      </c>
      <c r="C493" t="inlineStr">
        <is>
          <t>PZ-A</t>
        </is>
      </c>
      <c r="D493" t="n">
        <v>15</v>
      </c>
      <c r="E493" t="inlineStr">
        <is>
          <t>H0116</t>
        </is>
      </c>
      <c r="F493" t="inlineStr">
        <is>
          <t>桃園市大園區大海里25°02'53.1"N 121°14'28.1"E</t>
        </is>
      </c>
      <c r="G493" t="n">
        <v>25.048327</v>
      </c>
      <c r="H493" t="n">
        <v>121.241144</v>
      </c>
      <c r="I493" t="n">
        <v>8</v>
      </c>
      <c r="J493" t="n">
        <v>2</v>
      </c>
      <c r="K493" t="n">
        <v>217.4</v>
      </c>
      <c r="L493" t="inlineStr">
        <is>
          <t>Primary</t>
        </is>
      </c>
    </row>
    <row r="494">
      <c r="A494" t="n">
        <v>3</v>
      </c>
      <c r="B494" s="24" t="inlineStr">
        <is>
          <t>S04</t>
        </is>
      </c>
      <c r="C494" t="inlineStr">
        <is>
          <t>PZ-A</t>
        </is>
      </c>
      <c r="D494" t="n">
        <v>16</v>
      </c>
      <c r="E494" t="inlineStr">
        <is>
          <t>H0128</t>
        </is>
      </c>
      <c r="F494" t="inlineStr">
        <is>
          <t>桃園市大園區大園重劃區-福海段815816地號-附工務所地標電聯定位</t>
        </is>
      </c>
      <c r="G494" t="n">
        <v>25.049264</v>
      </c>
      <c r="H494" t="n">
        <v>121.241425</v>
      </c>
      <c r="I494" t="n">
        <v>8</v>
      </c>
      <c r="J494" t="n">
        <v>3</v>
      </c>
      <c r="K494" t="n">
        <v>228.4</v>
      </c>
      <c r="L494" t="inlineStr">
        <is>
          <t>Primary</t>
        </is>
      </c>
    </row>
    <row r="495">
      <c r="A495" t="n">
        <v>3</v>
      </c>
      <c r="B495" s="24" t="inlineStr">
        <is>
          <t>S04</t>
        </is>
      </c>
      <c r="C495" t="inlineStr">
        <is>
          <t>PZ-A</t>
        </is>
      </c>
      <c r="D495" t="n">
        <v>17</v>
      </c>
      <c r="E495" t="inlineStr">
        <is>
          <t>H0122</t>
        </is>
      </c>
      <c r="F495" t="inlineStr">
        <is>
          <t>桃園市大園區大海里福海段900地號-附地標</t>
        </is>
      </c>
      <c r="G495" t="n">
        <v>25.049536</v>
      </c>
      <c r="H495" t="n">
        <v>121.241725</v>
      </c>
      <c r="I495" t="n">
        <v>8</v>
      </c>
      <c r="J495" t="n">
        <v>2</v>
      </c>
      <c r="K495" t="n">
        <v>238.4</v>
      </c>
      <c r="L495" t="inlineStr">
        <is>
          <t>Primary</t>
        </is>
      </c>
    </row>
    <row r="496">
      <c r="A496" t="n">
        <v>3</v>
      </c>
      <c r="B496" s="24" t="inlineStr">
        <is>
          <t>S04</t>
        </is>
      </c>
      <c r="C496" t="inlineStr">
        <is>
          <t>PZ-A</t>
        </is>
      </c>
      <c r="D496" t="n">
        <v>18</v>
      </c>
      <c r="E496" t="inlineStr">
        <is>
          <t>H0255</t>
        </is>
      </c>
      <c r="F496" t="inlineStr">
        <is>
          <t>桃園市大園區福康路附近-福海段897.898地號-附地標</t>
        </is>
      </c>
      <c r="G496" t="n">
        <v>25.04953</v>
      </c>
      <c r="H496" t="n">
        <v>121.241816</v>
      </c>
      <c r="I496" t="n">
        <v>8</v>
      </c>
      <c r="J496" t="n">
        <v>2</v>
      </c>
      <c r="K496" t="n">
        <v>248.4</v>
      </c>
      <c r="L496" t="inlineStr">
        <is>
          <t>Primary</t>
        </is>
      </c>
    </row>
    <row r="497">
      <c r="A497" t="n">
        <v>3</v>
      </c>
      <c r="B497" s="24" t="inlineStr">
        <is>
          <t>S04</t>
        </is>
      </c>
      <c r="C497" t="inlineStr">
        <is>
          <t>PZ-A</t>
        </is>
      </c>
      <c r="D497" t="n">
        <v>19</v>
      </c>
      <c r="E497" t="inlineStr">
        <is>
          <t>H0120</t>
        </is>
      </c>
      <c r="F497" t="inlineStr">
        <is>
          <t>桃園市大園區大海里福海段790-791地號-大園重劃區-附地標</t>
        </is>
      </c>
      <c r="G497" t="n">
        <v>25.049891</v>
      </c>
      <c r="H497" t="n">
        <v>121.241422</v>
      </c>
      <c r="I497" t="n">
        <v>8</v>
      </c>
      <c r="J497" t="n">
        <v>2</v>
      </c>
      <c r="K497" t="n">
        <v>258.4</v>
      </c>
      <c r="L497" t="inlineStr">
        <is>
          <t>Primary</t>
        </is>
      </c>
    </row>
    <row r="498">
      <c r="A498" t="n">
        <v>3</v>
      </c>
      <c r="B498" s="24" t="inlineStr">
        <is>
          <t>S04</t>
        </is>
      </c>
      <c r="C498" t="inlineStr">
        <is>
          <t>PZ-A</t>
        </is>
      </c>
      <c r="D498" t="n">
        <v>20</v>
      </c>
      <c r="E498" t="inlineStr">
        <is>
          <t>H0236</t>
        </is>
      </c>
      <c r="F498" t="inlineStr">
        <is>
          <t>桃園市大園區海福路附近-福海段671~674地號-附地標</t>
        </is>
      </c>
      <c r="G498" t="n">
        <v>25.0504</v>
      </c>
      <c r="H498" t="n">
        <v>121.2412</v>
      </c>
      <c r="I498" t="n">
        <v>8</v>
      </c>
      <c r="J498" t="n">
        <v>2</v>
      </c>
      <c r="K498" t="n">
        <v>268.4</v>
      </c>
      <c r="L498" t="inlineStr">
        <is>
          <t>Primary</t>
        </is>
      </c>
    </row>
    <row r="499">
      <c r="A499" t="n">
        <v>3</v>
      </c>
      <c r="B499" s="24" t="inlineStr">
        <is>
          <t>S04</t>
        </is>
      </c>
      <c r="C499" t="inlineStr">
        <is>
          <t>PZ-A</t>
        </is>
      </c>
      <c r="D499" t="n">
        <v>21</v>
      </c>
      <c r="E499" t="inlineStr">
        <is>
          <t>H0886</t>
        </is>
      </c>
      <c r="F499" t="inlineStr">
        <is>
          <t>桃園市蘆竹區(大園區)宏竹路-航空城重劃區</t>
        </is>
      </c>
      <c r="G499" t="n">
        <v>25.048652</v>
      </c>
      <c r="H499" t="n">
        <v>121.242469</v>
      </c>
      <c r="I499" t="n">
        <v>8</v>
      </c>
      <c r="J499" t="n">
        <v>3</v>
      </c>
      <c r="K499" t="n">
        <v>279.4</v>
      </c>
      <c r="L499" t="inlineStr">
        <is>
          <t>Primary</t>
        </is>
      </c>
    </row>
    <row r="500">
      <c r="A500" t="n">
        <v>3</v>
      </c>
      <c r="B500" s="24" t="inlineStr">
        <is>
          <t>S04</t>
        </is>
      </c>
      <c r="C500" t="inlineStr">
        <is>
          <t>PZ-A</t>
        </is>
      </c>
      <c r="D500" t="n">
        <v>22</v>
      </c>
      <c r="E500" t="inlineStr">
        <is>
          <t>H0211</t>
        </is>
      </c>
      <c r="F500" t="inlineStr">
        <is>
          <t>桃園市大園區宏竹路附近-福海段1104.1105地號-附地標</t>
        </is>
      </c>
      <c r="G500" t="n">
        <v>25.048291</v>
      </c>
      <c r="H500" t="n">
        <v>121.2426</v>
      </c>
      <c r="I500" t="n">
        <v>8</v>
      </c>
      <c r="J500" t="n">
        <v>2</v>
      </c>
      <c r="K500" t="n">
        <v>289.4</v>
      </c>
      <c r="L500" t="inlineStr">
        <is>
          <t>Primary</t>
        </is>
      </c>
    </row>
    <row r="501">
      <c r="A501" t="n">
        <v>3</v>
      </c>
      <c r="B501" s="24" t="inlineStr">
        <is>
          <t>S04</t>
        </is>
      </c>
      <c r="C501" t="inlineStr">
        <is>
          <t>PZ-A</t>
        </is>
      </c>
      <c r="D501" t="n">
        <v>23</v>
      </c>
      <c r="E501" t="inlineStr">
        <is>
          <t>H0118</t>
        </is>
      </c>
      <c r="F501" t="inlineStr">
        <is>
          <t>桃園市大園區大海里福海段1107地號-附地標</t>
        </is>
      </c>
      <c r="G501" t="n">
        <v>25.048189</v>
      </c>
      <c r="H501" t="n">
        <v>121.242447</v>
      </c>
      <c r="I501" t="n">
        <v>8</v>
      </c>
      <c r="J501" t="n">
        <v>2</v>
      </c>
      <c r="K501" t="n">
        <v>299.4</v>
      </c>
      <c r="L501" t="inlineStr">
        <is>
          <t>Primary</t>
        </is>
      </c>
    </row>
    <row r="502">
      <c r="A502" t="n">
        <v>3</v>
      </c>
      <c r="B502" s="24" t="inlineStr">
        <is>
          <t>S04</t>
        </is>
      </c>
      <c r="C502" t="inlineStr">
        <is>
          <t>PZ-A</t>
        </is>
      </c>
      <c r="D502" t="n">
        <v>24</v>
      </c>
      <c r="E502" t="inlineStr">
        <is>
          <t>H0935</t>
        </is>
      </c>
      <c r="F502" t="inlineStr">
        <is>
          <t>桃園市蘆竹區宏竹路101巷-福海段1201-1206地號-附地標</t>
        </is>
      </c>
      <c r="G502" t="n">
        <v>25.047191</v>
      </c>
      <c r="H502" t="n">
        <v>121.242014</v>
      </c>
      <c r="I502" t="n">
        <v>16</v>
      </c>
      <c r="J502" t="n">
        <v>3</v>
      </c>
      <c r="K502" t="n">
        <v>318.4</v>
      </c>
      <c r="L502" t="inlineStr">
        <is>
          <t>Primary</t>
        </is>
      </c>
    </row>
    <row r="503">
      <c r="A503" t="n">
        <v>3</v>
      </c>
      <c r="B503" s="24" t="inlineStr">
        <is>
          <t>S04</t>
        </is>
      </c>
      <c r="C503" t="inlineStr">
        <is>
          <t>PZ-A</t>
        </is>
      </c>
      <c r="D503" t="n">
        <v>25</v>
      </c>
      <c r="E503" t="inlineStr">
        <is>
          <t>H0936</t>
        </is>
      </c>
      <c r="F503" t="inlineStr">
        <is>
          <t>桃園市蘆竹區宏竹路202號附近空地-航空城</t>
        </is>
      </c>
      <c r="G503" t="n">
        <v>25.044802</v>
      </c>
      <c r="H503" t="n">
        <v>121.2459</v>
      </c>
      <c r="I503" t="n">
        <v>8</v>
      </c>
      <c r="J503" t="n">
        <v>3</v>
      </c>
      <c r="K503" t="n">
        <v>329.4</v>
      </c>
      <c r="L503" t="inlineStr">
        <is>
          <t>Primary</t>
        </is>
      </c>
    </row>
    <row r="504">
      <c r="A504" t="n">
        <v>3</v>
      </c>
      <c r="B504" s="24" t="inlineStr">
        <is>
          <t>S04</t>
        </is>
      </c>
      <c r="C504" t="inlineStr">
        <is>
          <t>PZ-A</t>
        </is>
      </c>
      <c r="D504" t="n">
        <v>26</v>
      </c>
      <c r="E504" t="inlineStr">
        <is>
          <t>H0953</t>
        </is>
      </c>
      <c r="F504" t="inlineStr">
        <is>
          <t>桃園市蘆竹區南青路392號旁</t>
        </is>
      </c>
      <c r="G504" t="n">
        <v>25.043722</v>
      </c>
      <c r="H504" t="n">
        <v>121.247272</v>
      </c>
      <c r="I504" t="n">
        <v>8</v>
      </c>
      <c r="J504" t="n">
        <v>3</v>
      </c>
      <c r="K504" t="n">
        <v>340.4</v>
      </c>
      <c r="L504" t="inlineStr">
        <is>
          <t>Primary</t>
        </is>
      </c>
    </row>
    <row r="505">
      <c r="A505" t="n">
        <v>3</v>
      </c>
      <c r="B505" s="24" t="inlineStr">
        <is>
          <t>S04</t>
        </is>
      </c>
      <c r="C505" t="inlineStr">
        <is>
          <t>PZ-A</t>
        </is>
      </c>
      <c r="D505" t="n">
        <v>27</v>
      </c>
      <c r="E505" t="inlineStr">
        <is>
          <t>H0952</t>
        </is>
      </c>
      <c r="F505" t="inlineStr">
        <is>
          <t>桃園市蘆竹區南青路25°02'32.7"N 121°14'42.2"E</t>
        </is>
      </c>
      <c r="G505" t="n">
        <v>25.042552</v>
      </c>
      <c r="H505" t="n">
        <v>121.24525</v>
      </c>
      <c r="I505" t="n">
        <v>8</v>
      </c>
      <c r="J505" t="n">
        <v>3</v>
      </c>
      <c r="K505" t="n">
        <v>351.4</v>
      </c>
      <c r="L505" t="inlineStr">
        <is>
          <t>Primary</t>
        </is>
      </c>
    </row>
    <row r="506">
      <c r="A506" t="n">
        <v>3</v>
      </c>
      <c r="B506" s="24" t="inlineStr">
        <is>
          <t>S04</t>
        </is>
      </c>
      <c r="C506" t="inlineStr">
        <is>
          <t>PZ-A</t>
        </is>
      </c>
      <c r="D506" t="n">
        <v>28</v>
      </c>
      <c r="E506" t="inlineStr">
        <is>
          <t>H0893</t>
        </is>
      </c>
      <c r="F506" t="inlineStr">
        <is>
          <t>桃園市蘆竹區八股路366-1號</t>
        </is>
      </c>
      <c r="G506" t="n">
        <v>25.051</v>
      </c>
      <c r="H506" t="n">
        <v>121.252833</v>
      </c>
      <c r="I506" t="n">
        <v>16</v>
      </c>
      <c r="J506" t="n">
        <v>3</v>
      </c>
      <c r="K506" t="n">
        <v>370.4</v>
      </c>
      <c r="L506" t="inlineStr">
        <is>
          <t>Primary</t>
        </is>
      </c>
    </row>
    <row r="507">
      <c r="A507" t="n">
        <v>3</v>
      </c>
      <c r="B507" s="24" t="inlineStr">
        <is>
          <t>S04</t>
        </is>
      </c>
      <c r="C507" t="inlineStr">
        <is>
          <t>PZ-A</t>
        </is>
      </c>
      <c r="D507" t="n">
        <v>29</v>
      </c>
      <c r="E507" t="inlineStr">
        <is>
          <t>H0239</t>
        </is>
      </c>
      <c r="F507" t="inlineStr">
        <is>
          <t>桃園市大園區航空城-重劃區</t>
        </is>
      </c>
      <c r="G507" t="n">
        <v>25.056294</v>
      </c>
      <c r="H507" t="n">
        <v>121.250375</v>
      </c>
      <c r="I507" t="n">
        <v>8</v>
      </c>
      <c r="J507" t="n">
        <v>3</v>
      </c>
      <c r="K507" t="n">
        <v>381.4</v>
      </c>
      <c r="L507" t="inlineStr">
        <is>
          <t>Primary</t>
        </is>
      </c>
    </row>
    <row r="508">
      <c r="A508" t="n">
        <v>3</v>
      </c>
      <c r="B508" s="24" t="inlineStr">
        <is>
          <t>S04</t>
        </is>
      </c>
      <c r="C508" t="inlineStr">
        <is>
          <t>PZ-A</t>
        </is>
      </c>
      <c r="D508" t="n">
        <v>30</v>
      </c>
      <c r="E508" t="inlineStr">
        <is>
          <t>H0071</t>
        </is>
      </c>
      <c r="F508" t="inlineStr">
        <is>
          <t>桃園市大園區三民路二段849號對面-航空城</t>
        </is>
      </c>
      <c r="G508" t="n">
        <v>25.0569</v>
      </c>
      <c r="H508" t="n">
        <v>121.251222</v>
      </c>
      <c r="I508" t="n">
        <v>8</v>
      </c>
      <c r="J508" t="n">
        <v>3</v>
      </c>
      <c r="K508" t="n">
        <v>392.4</v>
      </c>
      <c r="L508" t="inlineStr">
        <is>
          <t>Primary</t>
        </is>
      </c>
    </row>
    <row r="509">
      <c r="A509" t="n">
        <v>3</v>
      </c>
      <c r="B509" s="24" t="inlineStr">
        <is>
          <t>S04</t>
        </is>
      </c>
      <c r="C509" t="inlineStr">
        <is>
          <t>PZ-A</t>
        </is>
      </c>
      <c r="D509" t="n">
        <v>31</v>
      </c>
      <c r="E509" t="inlineStr">
        <is>
          <t>H0885</t>
        </is>
      </c>
      <c r="F509" t="inlineStr">
        <is>
          <t>桃園市蘆竹區(大園區)大園重劃區-富華段399.400地號-附工務所地標電聯定位</t>
        </is>
      </c>
      <c r="G509" t="n">
        <v>25.056783</v>
      </c>
      <c r="H509" t="n">
        <v>121.251814</v>
      </c>
      <c r="I509" t="n">
        <v>8</v>
      </c>
      <c r="J509" t="n">
        <v>2</v>
      </c>
      <c r="K509" t="n">
        <v>402.4</v>
      </c>
      <c r="L509" t="inlineStr">
        <is>
          <t>Primary</t>
        </is>
      </c>
    </row>
    <row r="510">
      <c r="A510" t="n">
        <v>3</v>
      </c>
      <c r="B510" s="24" t="inlineStr">
        <is>
          <t>S04</t>
        </is>
      </c>
      <c r="C510" t="inlineStr">
        <is>
          <t>PZ-A</t>
        </is>
      </c>
      <c r="D510" t="n">
        <v>32</v>
      </c>
      <c r="E510" t="inlineStr">
        <is>
          <t>H0891</t>
        </is>
      </c>
      <c r="F510" t="inlineStr">
        <is>
          <t>桃園市蘆竹區八股路275號</t>
        </is>
      </c>
      <c r="G510" t="n">
        <v>25.056769</v>
      </c>
      <c r="H510" t="n">
        <v>121.252186</v>
      </c>
      <c r="I510" t="n">
        <v>16</v>
      </c>
      <c r="J510" t="n">
        <v>2</v>
      </c>
      <c r="K510" t="n">
        <v>420.4</v>
      </c>
      <c r="L510" t="inlineStr">
        <is>
          <t>Primary</t>
        </is>
      </c>
    </row>
    <row r="511">
      <c r="A511" t="n">
        <v>3</v>
      </c>
      <c r="B511" s="24" t="inlineStr">
        <is>
          <t>S04</t>
        </is>
      </c>
      <c r="C511" t="inlineStr">
        <is>
          <t>PZ-A</t>
        </is>
      </c>
      <c r="D511" t="n">
        <v>33</v>
      </c>
      <c r="E511" t="inlineStr">
        <is>
          <t>H0080</t>
        </is>
      </c>
      <c r="F511" t="inlineStr">
        <is>
          <t>桃園市大園區三民路二段-大園重劃區-富華段166地號-電聯定位</t>
        </is>
      </c>
      <c r="G511" t="n">
        <v>25.057689</v>
      </c>
      <c r="H511" t="n">
        <v>121.252097</v>
      </c>
      <c r="I511" t="n">
        <v>8</v>
      </c>
      <c r="J511" t="n">
        <v>3</v>
      </c>
      <c r="K511" t="n">
        <v>431.4</v>
      </c>
      <c r="L511" t="inlineStr">
        <is>
          <t>Primary</t>
        </is>
      </c>
    </row>
    <row r="512">
      <c r="A512" t="n">
        <v>3</v>
      </c>
      <c r="B512" s="24" t="inlineStr">
        <is>
          <t>S04</t>
        </is>
      </c>
      <c r="C512" t="inlineStr">
        <is>
          <t>PZ-A</t>
        </is>
      </c>
      <c r="D512" t="n">
        <v>34</v>
      </c>
      <c r="E512" t="inlineStr">
        <is>
          <t>H0077</t>
        </is>
      </c>
      <c r="F512" t="inlineStr">
        <is>
          <t>桃園市大園區三民路二段957號對面-航空城</t>
        </is>
      </c>
      <c r="G512" t="n">
        <v>25.057831</v>
      </c>
      <c r="H512" t="n">
        <v>121.251928</v>
      </c>
      <c r="I512" t="n">
        <v>8</v>
      </c>
      <c r="J512" t="n">
        <v>2</v>
      </c>
      <c r="K512" t="n">
        <v>441.4</v>
      </c>
      <c r="L512" t="inlineStr">
        <is>
          <t>Primary</t>
        </is>
      </c>
    </row>
    <row r="513">
      <c r="A513" t="n">
        <v>3</v>
      </c>
      <c r="B513" s="24" t="inlineStr">
        <is>
          <t>S04</t>
        </is>
      </c>
      <c r="C513" t="inlineStr">
        <is>
          <t>PZ-A</t>
        </is>
      </c>
      <c r="D513" t="n">
        <v>35</v>
      </c>
      <c r="E513" t="inlineStr">
        <is>
          <t>H0894</t>
        </is>
      </c>
      <c r="F513" t="inlineStr">
        <is>
          <t>桃園市蘆竹區八股路附近-富華段435地號-大園重劃區-電聯定位</t>
        </is>
      </c>
      <c r="G513" t="n">
        <v>25.057767</v>
      </c>
      <c r="H513" t="n">
        <v>121.251342</v>
      </c>
      <c r="I513" t="n">
        <v>8</v>
      </c>
      <c r="J513" t="n">
        <v>2</v>
      </c>
      <c r="K513" t="n">
        <v>451.4</v>
      </c>
      <c r="L513" t="inlineStr">
        <is>
          <t>Primary</t>
        </is>
      </c>
    </row>
    <row r="514">
      <c r="A514" t="n">
        <v>3</v>
      </c>
      <c r="B514" s="24" t="inlineStr">
        <is>
          <t>S04</t>
        </is>
      </c>
      <c r="C514" t="inlineStr">
        <is>
          <t>PZ-A</t>
        </is>
      </c>
      <c r="D514" t="n">
        <v>36</v>
      </c>
      <c r="E514" t="inlineStr">
        <is>
          <t>H0895</t>
        </is>
      </c>
      <c r="F514" t="inlineStr">
        <is>
          <t>桃園市蘆竹區八股路航空城-重劃區</t>
        </is>
      </c>
      <c r="G514" t="n">
        <v>25.057389</v>
      </c>
      <c r="H514" t="n">
        <v>121.250917</v>
      </c>
      <c r="I514" t="n">
        <v>8</v>
      </c>
      <c r="J514" t="n">
        <v>2</v>
      </c>
      <c r="K514" t="n">
        <v>461.4</v>
      </c>
      <c r="L514" t="inlineStr">
        <is>
          <t>Primary</t>
        </is>
      </c>
    </row>
    <row r="515">
      <c r="A515" t="n">
        <v>3</v>
      </c>
      <c r="B515" s="24" t="inlineStr">
        <is>
          <t>S04</t>
        </is>
      </c>
      <c r="C515" t="inlineStr">
        <is>
          <t>PZ-A</t>
        </is>
      </c>
      <c r="D515" t="n">
        <v>37</v>
      </c>
      <c r="E515" t="inlineStr">
        <is>
          <t>H0896</t>
        </is>
      </c>
      <c r="F515" t="inlineStr">
        <is>
          <t>桃園市蘆竹區三石段146地號-大園重劃區-附地標</t>
        </is>
      </c>
      <c r="G515" t="n">
        <v>25.057714</v>
      </c>
      <c r="H515" t="n">
        <v>121.250597</v>
      </c>
      <c r="I515" t="n">
        <v>8</v>
      </c>
      <c r="J515" t="n">
        <v>2</v>
      </c>
      <c r="K515" t="n">
        <v>471.4</v>
      </c>
      <c r="L515" t="inlineStr">
        <is>
          <t>Primary</t>
        </is>
      </c>
    </row>
    <row r="516">
      <c r="A516" t="n">
        <v>3</v>
      </c>
      <c r="B516" s="24" t="inlineStr">
        <is>
          <t>S04</t>
        </is>
      </c>
      <c r="C516" t="inlineStr">
        <is>
          <t>PZ-A</t>
        </is>
      </c>
      <c r="D516" t="n">
        <v>38</v>
      </c>
      <c r="E516" t="inlineStr">
        <is>
          <t>H0079</t>
        </is>
      </c>
      <c r="F516" t="inlineStr">
        <is>
          <t>桃園市大園區三民路二段957號對面-航空城-電聯定位</t>
        </is>
      </c>
      <c r="G516" t="n">
        <v>25.057444</v>
      </c>
      <c r="H516" t="n">
        <v>121.250203</v>
      </c>
      <c r="I516" t="n">
        <v>8</v>
      </c>
      <c r="J516" t="n">
        <v>2</v>
      </c>
      <c r="K516" t="n">
        <v>481.4</v>
      </c>
      <c r="L516" t="inlineStr">
        <is>
          <t>Primary</t>
        </is>
      </c>
    </row>
    <row r="517">
      <c r="A517" t="n">
        <v>3</v>
      </c>
      <c r="B517" s="24" t="inlineStr">
        <is>
          <t>S04</t>
        </is>
      </c>
      <c r="C517" t="inlineStr">
        <is>
          <t>PZ-A</t>
        </is>
      </c>
      <c r="D517" t="n">
        <v>39</v>
      </c>
      <c r="E517" t="inlineStr">
        <is>
          <t>H0084</t>
        </is>
      </c>
      <c r="F517" t="inlineStr">
        <is>
          <t>桃園市大園區三石段150.151.151-1.152地號-大園重劃區</t>
        </is>
      </c>
      <c r="G517" t="n">
        <v>25.057433</v>
      </c>
      <c r="H517" t="n">
        <v>121.250206</v>
      </c>
      <c r="I517" t="n">
        <v>8</v>
      </c>
      <c r="J517" t="n">
        <v>2</v>
      </c>
      <c r="K517" t="n">
        <v>491.4</v>
      </c>
      <c r="L517" t="inlineStr">
        <is>
          <t>Primary</t>
        </is>
      </c>
    </row>
    <row r="518">
      <c r="A518" t="n">
        <v>3</v>
      </c>
      <c r="B518" s="24" t="inlineStr">
        <is>
          <t>S04</t>
        </is>
      </c>
      <c r="C518" t="inlineStr">
        <is>
          <t>PZ-A</t>
        </is>
      </c>
      <c r="D518" t="n">
        <v>40</v>
      </c>
      <c r="E518" t="inlineStr">
        <is>
          <t>H0888</t>
        </is>
      </c>
      <c r="F518" t="inlineStr">
        <is>
          <t>桃園市蘆竹區八股路207號-重劃區</t>
        </is>
      </c>
      <c r="G518" t="n">
        <v>25.058672</v>
      </c>
      <c r="H518" t="n">
        <v>121.251886</v>
      </c>
      <c r="I518" t="n">
        <v>8</v>
      </c>
      <c r="J518" t="n">
        <v>3</v>
      </c>
      <c r="K518" t="n">
        <v>502.4</v>
      </c>
      <c r="L518" t="inlineStr">
        <is>
          <t>Primary</t>
        </is>
      </c>
    </row>
    <row r="519">
      <c r="A519" t="n">
        <v>3</v>
      </c>
      <c r="B519" s="24" t="inlineStr">
        <is>
          <t>S04</t>
        </is>
      </c>
      <c r="C519" t="inlineStr">
        <is>
          <t>PZ-A</t>
        </is>
      </c>
      <c r="D519" t="n">
        <v>41</v>
      </c>
      <c r="E519" t="inlineStr">
        <is>
          <t>H0977</t>
        </is>
      </c>
      <c r="F519" t="inlineStr">
        <is>
          <t>桃園市蘆竹區蘆竹里富華段149地號-大園重劃區-附地標</t>
        </is>
      </c>
      <c r="G519" t="n">
        <v>25.058614</v>
      </c>
      <c r="H519" t="n">
        <v>121.252575</v>
      </c>
      <c r="I519" t="n">
        <v>8</v>
      </c>
      <c r="J519" t="n">
        <v>2</v>
      </c>
      <c r="K519" t="n">
        <v>512.4</v>
      </c>
      <c r="L519" t="inlineStr">
        <is>
          <t>Primary</t>
        </is>
      </c>
    </row>
    <row r="520">
      <c r="A520" t="n">
        <v>3</v>
      </c>
      <c r="B520" s="24" t="inlineStr">
        <is>
          <t>S04</t>
        </is>
      </c>
      <c r="C520" t="inlineStr">
        <is>
          <t>PZ-A</t>
        </is>
      </c>
      <c r="D520" t="n">
        <v>42</v>
      </c>
      <c r="E520" t="inlineStr">
        <is>
          <t>H0889</t>
        </is>
      </c>
      <c r="F520" t="inlineStr">
        <is>
          <t>桃園市蘆竹區八股路226號附近</t>
        </is>
      </c>
      <c r="G520" t="n">
        <v>25.058367</v>
      </c>
      <c r="H520" t="n">
        <v>121.252969</v>
      </c>
      <c r="I520" t="n">
        <v>8</v>
      </c>
      <c r="J520" t="n">
        <v>2</v>
      </c>
      <c r="K520" t="n">
        <v>522.4</v>
      </c>
      <c r="L520" t="inlineStr">
        <is>
          <t>Primary</t>
        </is>
      </c>
    </row>
    <row r="521">
      <c r="A521" t="n">
        <v>4</v>
      </c>
      <c r="B521" s="24" t="inlineStr">
        <is>
          <t>S04</t>
        </is>
      </c>
      <c r="C521" t="inlineStr">
        <is>
          <t>PZ-A</t>
        </is>
      </c>
      <c r="D521" t="n">
        <v>1</v>
      </c>
      <c r="E521" t="inlineStr">
        <is>
          <t>H0261</t>
        </is>
      </c>
      <c r="F521" t="inlineStr">
        <is>
          <t>桃園市大園區學十街199號對面</t>
        </is>
      </c>
      <c r="G521" t="n">
        <v>25.044619</v>
      </c>
      <c r="H521" t="n">
        <v>121.170384</v>
      </c>
      <c r="I521" t="n">
        <v>8</v>
      </c>
      <c r="J521" t="n">
        <v>16.3</v>
      </c>
      <c r="K521" t="n">
        <v>24.3</v>
      </c>
      <c r="L521" t="inlineStr">
        <is>
          <t>Primary</t>
        </is>
      </c>
    </row>
    <row r="522">
      <c r="A522" t="n">
        <v>4</v>
      </c>
      <c r="B522" s="24" t="inlineStr">
        <is>
          <t>S04</t>
        </is>
      </c>
      <c r="C522" t="inlineStr">
        <is>
          <t>PZ-A</t>
        </is>
      </c>
      <c r="D522" t="n">
        <v>2</v>
      </c>
      <c r="E522" t="inlineStr">
        <is>
          <t>H0274</t>
        </is>
      </c>
      <c r="F522" t="inlineStr">
        <is>
          <t>桃園市大園區環區西路370號對面工地</t>
        </is>
      </c>
      <c r="G522" t="n">
        <v>25.050781</v>
      </c>
      <c r="H522" t="n">
        <v>121.165956</v>
      </c>
      <c r="I522" t="n">
        <v>8</v>
      </c>
      <c r="J522" t="n">
        <v>3</v>
      </c>
      <c r="K522" t="n">
        <v>35.3</v>
      </c>
      <c r="L522" t="inlineStr">
        <is>
          <t>Primary</t>
        </is>
      </c>
    </row>
    <row r="523">
      <c r="A523" t="n">
        <v>4</v>
      </c>
      <c r="B523" s="24" t="inlineStr">
        <is>
          <t>S04</t>
        </is>
      </c>
      <c r="C523" t="inlineStr">
        <is>
          <t>PZ-A</t>
        </is>
      </c>
      <c r="D523" t="n">
        <v>3</v>
      </c>
      <c r="E523" t="inlineStr">
        <is>
          <t>H0272</t>
        </is>
      </c>
      <c r="F523" t="inlineStr">
        <is>
          <t>桃園市大園區環區西路167號對面</t>
        </is>
      </c>
      <c r="G523" t="n">
        <v>25.055075</v>
      </c>
      <c r="H523" t="n">
        <v>121.168236</v>
      </c>
      <c r="I523" t="n">
        <v>8</v>
      </c>
      <c r="J523" t="n">
        <v>3</v>
      </c>
      <c r="K523" t="n">
        <v>46.3</v>
      </c>
      <c r="L523" t="inlineStr">
        <is>
          <t>Primary</t>
        </is>
      </c>
    </row>
    <row r="524">
      <c r="A524" t="n">
        <v>4</v>
      </c>
      <c r="B524" s="24" t="inlineStr">
        <is>
          <t>S04</t>
        </is>
      </c>
      <c r="C524" t="inlineStr">
        <is>
          <t>PZ-A</t>
        </is>
      </c>
      <c r="D524" t="n">
        <v>4</v>
      </c>
      <c r="E524" t="inlineStr">
        <is>
          <t>H0131</t>
        </is>
      </c>
      <c r="F524" t="inlineStr">
        <is>
          <t>桃園市大園區大觀路&amp;園科路交叉口-璟都麗緻接待中心旁</t>
        </is>
      </c>
      <c r="G524" t="n">
        <v>25.059447</v>
      </c>
      <c r="H524" t="n">
        <v>121.171059</v>
      </c>
      <c r="I524" t="n">
        <v>8</v>
      </c>
      <c r="J524" t="n">
        <v>3</v>
      </c>
      <c r="K524" t="n">
        <v>57.3</v>
      </c>
      <c r="L524" t="inlineStr">
        <is>
          <t>Primary</t>
        </is>
      </c>
    </row>
    <row r="525">
      <c r="A525" t="n">
        <v>4</v>
      </c>
      <c r="B525" s="24" t="inlineStr">
        <is>
          <t>S04</t>
        </is>
      </c>
      <c r="C525" t="inlineStr">
        <is>
          <t>PZ-A</t>
        </is>
      </c>
      <c r="D525" t="n">
        <v>5</v>
      </c>
      <c r="E525" t="inlineStr">
        <is>
          <t>H1049</t>
        </is>
      </c>
      <c r="F525" t="inlineStr">
        <is>
          <t>桃園市觀音區桃35鄉道155號</t>
        </is>
      </c>
      <c r="G525" t="n">
        <v>25.053483</v>
      </c>
      <c r="H525" t="n">
        <v>121.141433</v>
      </c>
      <c r="I525" t="n">
        <v>8</v>
      </c>
      <c r="J525" t="n">
        <v>7.3</v>
      </c>
      <c r="K525" t="n">
        <v>72.7</v>
      </c>
      <c r="L525" t="inlineStr">
        <is>
          <t>Primary</t>
        </is>
      </c>
    </row>
    <row r="526">
      <c r="A526" t="n">
        <v>4</v>
      </c>
      <c r="B526" s="24" t="inlineStr">
        <is>
          <t>S04</t>
        </is>
      </c>
      <c r="C526" t="inlineStr">
        <is>
          <t>PZ-A</t>
        </is>
      </c>
      <c r="D526" t="n">
        <v>6</v>
      </c>
      <c r="E526" t="inlineStr">
        <is>
          <t>H1036</t>
        </is>
      </c>
      <c r="F526" t="inlineStr">
        <is>
          <t>桃園市觀音區忠孝路298號旁(富貴一街上)</t>
        </is>
      </c>
      <c r="G526" t="n">
        <v>25.054225</v>
      </c>
      <c r="H526" t="n">
        <v>121.139408</v>
      </c>
      <c r="I526" t="n">
        <v>8</v>
      </c>
      <c r="J526" t="n">
        <v>3</v>
      </c>
      <c r="K526" t="n">
        <v>83.7</v>
      </c>
      <c r="L526" t="inlineStr">
        <is>
          <t>Primary</t>
        </is>
      </c>
    </row>
    <row r="527">
      <c r="A527" t="n">
        <v>4</v>
      </c>
      <c r="B527" s="24" t="inlineStr">
        <is>
          <t>S04</t>
        </is>
      </c>
      <c r="C527" t="inlineStr">
        <is>
          <t>PZ-A</t>
        </is>
      </c>
      <c r="D527" t="n">
        <v>7</v>
      </c>
      <c r="E527" t="inlineStr">
        <is>
          <t>H1026</t>
        </is>
      </c>
      <c r="F527" t="inlineStr">
        <is>
          <t>桃園市觀音區成功路一段360巷30號</t>
        </is>
      </c>
      <c r="G527" t="n">
        <v>25.054433</v>
      </c>
      <c r="H527" t="n">
        <v>121.137577</v>
      </c>
      <c r="I527" t="n">
        <v>8</v>
      </c>
      <c r="J527" t="n">
        <v>3</v>
      </c>
      <c r="K527" t="n">
        <v>94.7</v>
      </c>
      <c r="L527" t="inlineStr">
        <is>
          <t>Primary</t>
        </is>
      </c>
    </row>
    <row r="528">
      <c r="A528" t="n">
        <v>4</v>
      </c>
      <c r="B528" s="24" t="inlineStr">
        <is>
          <t>S04</t>
        </is>
      </c>
      <c r="C528" t="inlineStr">
        <is>
          <t>PZ-A</t>
        </is>
      </c>
      <c r="D528" t="n">
        <v>8</v>
      </c>
      <c r="E528" t="inlineStr">
        <is>
          <t>H1067</t>
        </is>
      </c>
      <c r="F528" t="inlineStr">
        <is>
          <t>桃園市觀音區富貴一街113巷30號對面</t>
        </is>
      </c>
      <c r="G528" t="n">
        <v>25.05425</v>
      </c>
      <c r="H528" t="n">
        <v>121.137027</v>
      </c>
      <c r="I528" t="n">
        <v>8</v>
      </c>
      <c r="J528" t="n">
        <v>2</v>
      </c>
      <c r="K528" t="n">
        <v>104.7</v>
      </c>
      <c r="L528" t="inlineStr">
        <is>
          <t>Primary</t>
        </is>
      </c>
    </row>
    <row r="529">
      <c r="A529" t="n">
        <v>4</v>
      </c>
      <c r="B529" s="24" t="inlineStr">
        <is>
          <t>S04</t>
        </is>
      </c>
      <c r="C529" t="inlineStr">
        <is>
          <t>PZ-A</t>
        </is>
      </c>
      <c r="D529" t="n">
        <v>9</v>
      </c>
      <c r="E529" t="inlineStr">
        <is>
          <t>H0986</t>
        </is>
      </c>
      <c r="F529" t="inlineStr">
        <is>
          <t>桃園市觀音區大同二路19號</t>
        </is>
      </c>
      <c r="G529" t="n">
        <v>25.050169</v>
      </c>
      <c r="H529" t="n">
        <v>121.136452</v>
      </c>
      <c r="I529" t="n">
        <v>16</v>
      </c>
      <c r="J529" t="n">
        <v>3</v>
      </c>
      <c r="K529" t="n">
        <v>123.7</v>
      </c>
      <c r="L529" t="inlineStr">
        <is>
          <t>Primary</t>
        </is>
      </c>
    </row>
    <row r="530">
      <c r="A530" t="n">
        <v>4</v>
      </c>
      <c r="B530" s="24" t="inlineStr">
        <is>
          <t>S04</t>
        </is>
      </c>
      <c r="C530" t="inlineStr">
        <is>
          <t>PZ-A</t>
        </is>
      </c>
      <c r="D530" t="n">
        <v>10</v>
      </c>
      <c r="E530" t="inlineStr">
        <is>
          <t>H1089</t>
        </is>
      </c>
      <c r="F530" t="inlineStr">
        <is>
          <t>桃園市觀音區福昌街97號旁</t>
        </is>
      </c>
      <c r="G530" t="n">
        <v>25.048502</v>
      </c>
      <c r="H530" t="n">
        <v>121.13718</v>
      </c>
      <c r="I530" t="n">
        <v>8</v>
      </c>
      <c r="J530" t="n">
        <v>3</v>
      </c>
      <c r="K530" t="n">
        <v>134.7</v>
      </c>
      <c r="L530" t="inlineStr">
        <is>
          <t>Primary</t>
        </is>
      </c>
    </row>
    <row r="531">
      <c r="A531" t="n">
        <v>4</v>
      </c>
      <c r="B531" s="24" t="inlineStr">
        <is>
          <t>S04</t>
        </is>
      </c>
      <c r="C531" t="inlineStr">
        <is>
          <t>PZ-A</t>
        </is>
      </c>
      <c r="D531" t="n">
        <v>11</v>
      </c>
      <c r="E531" t="inlineStr">
        <is>
          <t>H1093</t>
        </is>
      </c>
      <c r="F531" t="inlineStr">
        <is>
          <t>桃園市觀音區福祥街68號對面</t>
        </is>
      </c>
      <c r="G531" t="n">
        <v>25.046719</v>
      </c>
      <c r="H531" t="n">
        <v>121.136036</v>
      </c>
      <c r="I531" t="n">
        <v>8</v>
      </c>
      <c r="J531" t="n">
        <v>3</v>
      </c>
      <c r="K531" t="n">
        <v>145.7</v>
      </c>
      <c r="L531" t="inlineStr">
        <is>
          <t>Primary</t>
        </is>
      </c>
    </row>
    <row r="532">
      <c r="A532" t="n">
        <v>4</v>
      </c>
      <c r="B532" s="24" t="inlineStr">
        <is>
          <t>S04</t>
        </is>
      </c>
      <c r="C532" t="inlineStr">
        <is>
          <t>PZ-A</t>
        </is>
      </c>
      <c r="D532" t="n">
        <v>12</v>
      </c>
      <c r="E532" t="inlineStr">
        <is>
          <t>H1099</t>
        </is>
      </c>
      <c r="F532" t="inlineStr">
        <is>
          <t>桃園市觀音區褔德街285號旁</t>
        </is>
      </c>
      <c r="G532" t="n">
        <v>25.045016</v>
      </c>
      <c r="H532" t="n">
        <v>121.136055</v>
      </c>
      <c r="I532" t="n">
        <v>8</v>
      </c>
      <c r="J532" t="n">
        <v>3</v>
      </c>
      <c r="K532" t="n">
        <v>156.7</v>
      </c>
      <c r="L532" t="inlineStr">
        <is>
          <t>Primary</t>
        </is>
      </c>
    </row>
    <row r="533">
      <c r="A533" t="n">
        <v>4</v>
      </c>
      <c r="B533" s="24" t="inlineStr">
        <is>
          <t>S04</t>
        </is>
      </c>
      <c r="C533" t="inlineStr">
        <is>
          <t>PZ-A</t>
        </is>
      </c>
      <c r="D533" t="n">
        <v>13</v>
      </c>
      <c r="E533" t="inlineStr">
        <is>
          <t>H1094</t>
        </is>
      </c>
      <c r="F533" t="inlineStr">
        <is>
          <t>桃園市觀音區福德街310號隔壁工地</t>
        </is>
      </c>
      <c r="G533" t="n">
        <v>25.043714</v>
      </c>
      <c r="H533" t="n">
        <v>121.134794</v>
      </c>
      <c r="I533" t="n">
        <v>8</v>
      </c>
      <c r="J533" t="n">
        <v>3</v>
      </c>
      <c r="K533" t="n">
        <v>167.7</v>
      </c>
      <c r="L533" t="inlineStr">
        <is>
          <t>Primary</t>
        </is>
      </c>
    </row>
    <row r="534">
      <c r="A534" t="n">
        <v>4</v>
      </c>
      <c r="B534" s="24" t="inlineStr">
        <is>
          <t>S04</t>
        </is>
      </c>
      <c r="C534" t="inlineStr">
        <is>
          <t>PZ-A</t>
        </is>
      </c>
      <c r="D534" t="n">
        <v>14</v>
      </c>
      <c r="E534" t="inlineStr">
        <is>
          <t>H0994</t>
        </is>
      </c>
      <c r="F534" t="inlineStr">
        <is>
          <t>桃園市觀音區大觀路二段&amp;莊一街轉角</t>
        </is>
      </c>
      <c r="G534" t="n">
        <v>25.0423</v>
      </c>
      <c r="H534" t="n">
        <v>121.13553</v>
      </c>
      <c r="I534" t="n">
        <v>8</v>
      </c>
      <c r="J534" t="n">
        <v>3</v>
      </c>
      <c r="K534" t="n">
        <v>178.7</v>
      </c>
      <c r="L534" t="inlineStr">
        <is>
          <t>Primary</t>
        </is>
      </c>
    </row>
    <row r="535">
      <c r="A535" t="n">
        <v>4</v>
      </c>
      <c r="B535" s="24" t="inlineStr">
        <is>
          <t>S04</t>
        </is>
      </c>
      <c r="C535" t="inlineStr">
        <is>
          <t>PZ-A</t>
        </is>
      </c>
      <c r="D535" t="n">
        <v>15</v>
      </c>
      <c r="E535" t="inlineStr">
        <is>
          <t>H0996</t>
        </is>
      </c>
      <c r="F535" t="inlineStr">
        <is>
          <t>桃園市觀音區大觀路二段437號-寶雅觀音大觀店對面</t>
        </is>
      </c>
      <c r="G535" t="n">
        <v>25.042025</v>
      </c>
      <c r="H535" t="n">
        <v>121.133347</v>
      </c>
      <c r="I535" t="n">
        <v>16</v>
      </c>
      <c r="J535" t="n">
        <v>3</v>
      </c>
      <c r="K535" t="n">
        <v>197.7</v>
      </c>
      <c r="L535" t="inlineStr">
        <is>
          <t>Primary</t>
        </is>
      </c>
    </row>
    <row r="536">
      <c r="A536" t="n">
        <v>4</v>
      </c>
      <c r="B536" s="24" t="inlineStr">
        <is>
          <t>S04</t>
        </is>
      </c>
      <c r="C536" t="inlineStr">
        <is>
          <t>PZ-A</t>
        </is>
      </c>
      <c r="D536" t="n">
        <v>16</v>
      </c>
      <c r="E536" t="inlineStr">
        <is>
          <t>H0980</t>
        </is>
      </c>
      <c r="F536" t="inlineStr">
        <is>
          <t>桃園市觀音區一心路全</t>
        </is>
      </c>
      <c r="G536" t="n">
        <v>25.041583</v>
      </c>
      <c r="H536" t="n">
        <v>121.132723</v>
      </c>
      <c r="I536" t="n">
        <v>8</v>
      </c>
      <c r="J536" t="n">
        <v>2</v>
      </c>
      <c r="K536" t="n">
        <v>207.7</v>
      </c>
      <c r="L536" t="inlineStr">
        <is>
          <t>Primary</t>
        </is>
      </c>
    </row>
    <row r="537">
      <c r="A537" t="n">
        <v>4</v>
      </c>
      <c r="B537" s="24" t="inlineStr">
        <is>
          <t>S04</t>
        </is>
      </c>
      <c r="C537" t="inlineStr">
        <is>
          <t>PZ-A</t>
        </is>
      </c>
      <c r="D537" t="n">
        <v>17</v>
      </c>
      <c r="E537" t="inlineStr">
        <is>
          <t>H0998</t>
        </is>
      </c>
      <c r="F537" t="inlineStr">
        <is>
          <t>桃園市觀音區大觀路三段與富觀街交叉口進去-附參考座標</t>
        </is>
      </c>
      <c r="G537" t="n">
        <v>25.042139</v>
      </c>
      <c r="H537" t="n">
        <v>121.132423</v>
      </c>
      <c r="I537" t="n">
        <v>8</v>
      </c>
      <c r="J537" t="n">
        <v>2</v>
      </c>
      <c r="K537" t="n">
        <v>217.7</v>
      </c>
      <c r="L537" t="inlineStr">
        <is>
          <t>Primary</t>
        </is>
      </c>
    </row>
    <row r="538">
      <c r="A538" t="n">
        <v>4</v>
      </c>
      <c r="B538" s="24" t="inlineStr">
        <is>
          <t>S04</t>
        </is>
      </c>
      <c r="C538" t="inlineStr">
        <is>
          <t>PZ-A</t>
        </is>
      </c>
      <c r="D538" t="n">
        <v>18</v>
      </c>
      <c r="E538" t="inlineStr">
        <is>
          <t>H1092</t>
        </is>
      </c>
      <c r="F538" t="inlineStr">
        <is>
          <t>桃園市觀音區福祥街20號對面-草漯-組合屋</t>
        </is>
      </c>
      <c r="G538" t="n">
        <v>25.042227</v>
      </c>
      <c r="H538" t="n">
        <v>121.132273</v>
      </c>
      <c r="I538" t="n">
        <v>24</v>
      </c>
      <c r="J538" t="n">
        <v>2</v>
      </c>
      <c r="K538" t="n">
        <v>243.7</v>
      </c>
      <c r="L538" t="inlineStr">
        <is>
          <t>Primary</t>
        </is>
      </c>
    </row>
    <row r="539">
      <c r="A539" t="n">
        <v>4</v>
      </c>
      <c r="B539" s="24" t="inlineStr">
        <is>
          <t>S04</t>
        </is>
      </c>
      <c r="C539" t="inlineStr">
        <is>
          <t>PZ-A</t>
        </is>
      </c>
      <c r="D539" t="n">
        <v>19</v>
      </c>
      <c r="E539" t="inlineStr">
        <is>
          <t>H0992</t>
        </is>
      </c>
      <c r="F539" t="inlineStr">
        <is>
          <t>桃園市觀音區大觀路2段437號轉進去福昌街</t>
        </is>
      </c>
      <c r="G539" t="n">
        <v>25.042333</v>
      </c>
      <c r="H539" t="n">
        <v>121.132159</v>
      </c>
      <c r="I539" t="n">
        <v>8</v>
      </c>
      <c r="J539" t="n">
        <v>2</v>
      </c>
      <c r="K539" t="n">
        <v>253.7</v>
      </c>
      <c r="L539" t="inlineStr">
        <is>
          <t>Primary</t>
        </is>
      </c>
    </row>
    <row r="540">
      <c r="A540" t="n">
        <v>4</v>
      </c>
      <c r="B540" s="24" t="inlineStr">
        <is>
          <t>S04</t>
        </is>
      </c>
      <c r="C540" t="inlineStr">
        <is>
          <t>PZ-A</t>
        </is>
      </c>
      <c r="D540" t="n">
        <v>20</v>
      </c>
      <c r="E540" t="inlineStr">
        <is>
          <t>H1090</t>
        </is>
      </c>
      <c r="F540" t="inlineStr">
        <is>
          <t>桃園市觀音區福昌街-附座標25°02'35.7"N 121°07'56.3"E</t>
        </is>
      </c>
      <c r="G540" t="n">
        <v>25.043233</v>
      </c>
      <c r="H540" t="n">
        <v>121.132664</v>
      </c>
      <c r="I540" t="n">
        <v>16</v>
      </c>
      <c r="J540" t="n">
        <v>3</v>
      </c>
      <c r="K540" t="n">
        <v>272.7</v>
      </c>
      <c r="L540" t="inlineStr">
        <is>
          <t>Primary</t>
        </is>
      </c>
    </row>
    <row r="541">
      <c r="A541" t="n">
        <v>4</v>
      </c>
      <c r="B541" s="24" t="inlineStr">
        <is>
          <t>S04</t>
        </is>
      </c>
      <c r="C541" t="inlineStr">
        <is>
          <t>PZ-A</t>
        </is>
      </c>
      <c r="D541" t="n">
        <v>21</v>
      </c>
      <c r="E541" t="inlineStr">
        <is>
          <t>H0985</t>
        </is>
      </c>
      <c r="F541" t="inlineStr">
        <is>
          <t>桃園市觀音區大同一路30號</t>
        </is>
      </c>
      <c r="G541" t="n">
        <v>25.046141</v>
      </c>
      <c r="H541" t="n">
        <v>121.132789</v>
      </c>
      <c r="I541" t="n">
        <v>8</v>
      </c>
      <c r="J541" t="n">
        <v>3</v>
      </c>
      <c r="K541" t="n">
        <v>283.7</v>
      </c>
      <c r="L541" t="inlineStr">
        <is>
          <t>Primary</t>
        </is>
      </c>
    </row>
    <row r="542">
      <c r="A542" t="n">
        <v>4</v>
      </c>
      <c r="B542" s="24" t="inlineStr">
        <is>
          <t>S04</t>
        </is>
      </c>
      <c r="C542" t="inlineStr">
        <is>
          <t>PZ-A</t>
        </is>
      </c>
      <c r="D542" t="n">
        <v>22</v>
      </c>
      <c r="E542" t="inlineStr">
        <is>
          <t>H1095</t>
        </is>
      </c>
      <c r="F542" t="inlineStr">
        <is>
          <t>桃園市觀音區福興街180號-棒壘球場對面</t>
        </is>
      </c>
      <c r="G542" t="n">
        <v>25.044539</v>
      </c>
      <c r="H542" t="n">
        <v>121.138272</v>
      </c>
      <c r="I542" t="n">
        <v>8</v>
      </c>
      <c r="J542" t="n">
        <v>3</v>
      </c>
      <c r="K542" t="n">
        <v>294.7</v>
      </c>
      <c r="L542" t="inlineStr">
        <is>
          <t>Primary</t>
        </is>
      </c>
    </row>
    <row r="543">
      <c r="A543" t="n">
        <v>4</v>
      </c>
      <c r="B543" s="24" t="inlineStr">
        <is>
          <t>S04</t>
        </is>
      </c>
      <c r="C543" t="inlineStr">
        <is>
          <t>PZ-A</t>
        </is>
      </c>
      <c r="D543" t="n">
        <v>23</v>
      </c>
      <c r="E543" t="inlineStr">
        <is>
          <t>H0995</t>
        </is>
      </c>
      <c r="F543" t="inlineStr">
        <is>
          <t>桃園市觀音區大觀路二段272號</t>
        </is>
      </c>
      <c r="G543" t="n">
        <v>25.04388</v>
      </c>
      <c r="H543" t="n">
        <v>121.13805</v>
      </c>
      <c r="I543" t="n">
        <v>8</v>
      </c>
      <c r="J543" t="n">
        <v>2</v>
      </c>
      <c r="K543" t="n">
        <v>304.7</v>
      </c>
      <c r="L543" t="inlineStr">
        <is>
          <t>Primary</t>
        </is>
      </c>
    </row>
    <row r="544">
      <c r="A544" t="n">
        <v>4</v>
      </c>
      <c r="B544" s="24" t="inlineStr">
        <is>
          <t>S04</t>
        </is>
      </c>
      <c r="C544" t="inlineStr">
        <is>
          <t>PZ-A</t>
        </is>
      </c>
      <c r="D544" t="n">
        <v>24</v>
      </c>
      <c r="E544" t="inlineStr">
        <is>
          <t>H1012</t>
        </is>
      </c>
      <c r="F544" t="inlineStr">
        <is>
          <t>桃園市觀音區四維路169號-店鋪、集合住宅新建工程</t>
        </is>
      </c>
      <c r="G544" t="n">
        <v>25.046616</v>
      </c>
      <c r="H544" t="n">
        <v>121.139344</v>
      </c>
      <c r="I544" t="n">
        <v>8</v>
      </c>
      <c r="J544" t="n">
        <v>3</v>
      </c>
      <c r="K544" t="n">
        <v>315.7</v>
      </c>
      <c r="L544" t="inlineStr">
        <is>
          <t>Primary</t>
        </is>
      </c>
    </row>
    <row r="545">
      <c r="A545" t="n">
        <v>4</v>
      </c>
      <c r="B545" s="24" t="inlineStr">
        <is>
          <t>S04</t>
        </is>
      </c>
      <c r="C545" t="inlineStr">
        <is>
          <t>PZ-A</t>
        </is>
      </c>
      <c r="D545" t="n">
        <v>25</v>
      </c>
      <c r="E545" t="inlineStr">
        <is>
          <t>H1066</t>
        </is>
      </c>
      <c r="F545" t="inlineStr">
        <is>
          <t>桃園市觀音區富平街27號旁</t>
        </is>
      </c>
      <c r="G545" t="n">
        <v>25.04743</v>
      </c>
      <c r="H545" t="n">
        <v>121.139764</v>
      </c>
      <c r="I545" t="n">
        <v>8</v>
      </c>
      <c r="J545" t="n">
        <v>2</v>
      </c>
      <c r="K545" t="n">
        <v>325.7</v>
      </c>
      <c r="L545" t="inlineStr">
        <is>
          <t>Primary</t>
        </is>
      </c>
    </row>
    <row r="546">
      <c r="A546" t="n">
        <v>4</v>
      </c>
      <c r="B546" s="24" t="inlineStr">
        <is>
          <t>S04</t>
        </is>
      </c>
      <c r="C546" t="inlineStr">
        <is>
          <t>PZ-A</t>
        </is>
      </c>
      <c r="D546" t="n">
        <v>26</v>
      </c>
      <c r="E546" t="inlineStr">
        <is>
          <t>H1035</t>
        </is>
      </c>
      <c r="F546" t="inlineStr">
        <is>
          <t>桃園市觀音區忠孝路111巷106號</t>
        </is>
      </c>
      <c r="G546" t="n">
        <v>25.048527</v>
      </c>
      <c r="H546" t="n">
        <v>121.140322</v>
      </c>
      <c r="I546" t="n">
        <v>8</v>
      </c>
      <c r="J546" t="n">
        <v>3</v>
      </c>
      <c r="K546" t="n">
        <v>336.7</v>
      </c>
      <c r="L546" t="inlineStr">
        <is>
          <t>Primary</t>
        </is>
      </c>
    </row>
    <row r="547">
      <c r="A547" t="n">
        <v>4</v>
      </c>
      <c r="B547" s="24" t="inlineStr">
        <is>
          <t>S04</t>
        </is>
      </c>
      <c r="C547" t="inlineStr">
        <is>
          <t>PZ-A</t>
        </is>
      </c>
      <c r="D547" t="n">
        <v>27</v>
      </c>
      <c r="E547" t="inlineStr">
        <is>
          <t>H1064</t>
        </is>
      </c>
      <c r="F547" t="inlineStr">
        <is>
          <t>桃園市觀音區莊敬路696號旁</t>
        </is>
      </c>
      <c r="G547" t="n">
        <v>25.049641</v>
      </c>
      <c r="H547" t="n">
        <v>121.140369</v>
      </c>
      <c r="I547" t="n">
        <v>8</v>
      </c>
      <c r="J547" t="n">
        <v>3</v>
      </c>
      <c r="K547" t="n">
        <v>347.7</v>
      </c>
      <c r="L547" t="inlineStr">
        <is>
          <t>Primary</t>
        </is>
      </c>
    </row>
    <row r="548">
      <c r="A548" t="n">
        <v>4</v>
      </c>
      <c r="B548" s="24" t="inlineStr">
        <is>
          <t>S04</t>
        </is>
      </c>
      <c r="C548" t="inlineStr">
        <is>
          <t>PZ-A</t>
        </is>
      </c>
      <c r="D548" t="n">
        <v>28</v>
      </c>
      <c r="E548" t="inlineStr">
        <is>
          <t>H1065</t>
        </is>
      </c>
      <c r="F548" t="inlineStr">
        <is>
          <t>桃園市觀音區莊敬路698號</t>
        </is>
      </c>
      <c r="G548" t="n">
        <v>25.049883</v>
      </c>
      <c r="H548" t="n">
        <v>121.140627</v>
      </c>
      <c r="I548" t="n">
        <v>8</v>
      </c>
      <c r="J548" t="n">
        <v>2</v>
      </c>
      <c r="K548" t="n">
        <v>357.7</v>
      </c>
      <c r="L548" t="inlineStr">
        <is>
          <t>Primary</t>
        </is>
      </c>
    </row>
    <row r="549">
      <c r="A549" t="n">
        <v>4</v>
      </c>
      <c r="B549" s="24" t="inlineStr">
        <is>
          <t>S04</t>
        </is>
      </c>
      <c r="C549" t="inlineStr">
        <is>
          <t>PZ-A</t>
        </is>
      </c>
      <c r="D549" t="n">
        <v>29</v>
      </c>
      <c r="E549" t="inlineStr">
        <is>
          <t>H1101</t>
        </is>
      </c>
      <c r="F549" t="inlineStr">
        <is>
          <t>桃園市觀音區學文二街139號對面</t>
        </is>
      </c>
      <c r="G549" t="n">
        <v>25.047177</v>
      </c>
      <c r="H549" t="n">
        <v>121.142797</v>
      </c>
      <c r="I549" t="n">
        <v>16</v>
      </c>
      <c r="J549" t="n">
        <v>3</v>
      </c>
      <c r="K549" t="n">
        <v>376.7</v>
      </c>
      <c r="L549" t="inlineStr">
        <is>
          <t>Primary</t>
        </is>
      </c>
    </row>
    <row r="550">
      <c r="A550" t="n">
        <v>4</v>
      </c>
      <c r="B550" s="24" t="inlineStr">
        <is>
          <t>S04</t>
        </is>
      </c>
      <c r="C550" t="inlineStr">
        <is>
          <t>PZ-A</t>
        </is>
      </c>
      <c r="D550" t="n">
        <v>30</v>
      </c>
      <c r="E550" t="inlineStr">
        <is>
          <t>H1102</t>
        </is>
      </c>
      <c r="F550" t="inlineStr">
        <is>
          <t>桃園市觀音區學文二街139號對面, 附地標</t>
        </is>
      </c>
      <c r="G550" t="n">
        <v>25.04675</v>
      </c>
      <c r="H550" t="n">
        <v>121.143666</v>
      </c>
      <c r="I550" t="n">
        <v>8</v>
      </c>
      <c r="J550" t="n">
        <v>2</v>
      </c>
      <c r="K550" t="n">
        <v>386.7</v>
      </c>
      <c r="L550" t="inlineStr">
        <is>
          <t>Primary</t>
        </is>
      </c>
    </row>
    <row r="551">
      <c r="A551" t="n">
        <v>4</v>
      </c>
      <c r="B551" s="24" t="inlineStr">
        <is>
          <t>S04</t>
        </is>
      </c>
      <c r="C551" t="inlineStr">
        <is>
          <t>PZ-A</t>
        </is>
      </c>
      <c r="D551" t="n">
        <v>31</v>
      </c>
      <c r="E551" t="inlineStr">
        <is>
          <t>H0981</t>
        </is>
      </c>
      <c r="F551" t="inlineStr">
        <is>
          <t>桃園市觀音區二聖路331號旁巷子</t>
        </is>
      </c>
      <c r="G551" t="n">
        <v>25.038316</v>
      </c>
      <c r="H551" t="n">
        <v>121.13535</v>
      </c>
      <c r="I551" t="n">
        <v>16</v>
      </c>
      <c r="J551" t="n">
        <v>3</v>
      </c>
      <c r="K551" t="n">
        <v>405.7</v>
      </c>
      <c r="L551" t="inlineStr">
        <is>
          <t>Primary</t>
        </is>
      </c>
    </row>
    <row r="552">
      <c r="A552" t="n">
        <v>4</v>
      </c>
      <c r="B552" s="24" t="inlineStr">
        <is>
          <t>S04</t>
        </is>
      </c>
      <c r="C552" t="inlineStr">
        <is>
          <t>PZ-A</t>
        </is>
      </c>
      <c r="D552" t="n">
        <v>32</v>
      </c>
      <c r="E552" t="inlineStr">
        <is>
          <t>H1082</t>
        </is>
      </c>
      <c r="F552" t="inlineStr">
        <is>
          <t>桃園市觀音區聖心二街175號附近</t>
        </is>
      </c>
      <c r="G552" t="n">
        <v>25.038614</v>
      </c>
      <c r="H552" t="n">
        <v>121.133273</v>
      </c>
      <c r="I552" t="n">
        <v>8</v>
      </c>
      <c r="J552" t="n">
        <v>3</v>
      </c>
      <c r="K552" t="n">
        <v>416.7</v>
      </c>
      <c r="L552" t="inlineStr">
        <is>
          <t>Primary</t>
        </is>
      </c>
    </row>
    <row r="553">
      <c r="A553" t="n">
        <v>4</v>
      </c>
      <c r="B553" s="24" t="inlineStr">
        <is>
          <t>S04</t>
        </is>
      </c>
      <c r="C553" t="inlineStr">
        <is>
          <t>PZ-A</t>
        </is>
      </c>
      <c r="D553" t="n">
        <v>33</v>
      </c>
      <c r="E553" t="inlineStr">
        <is>
          <t>H1081</t>
        </is>
      </c>
      <c r="F553" t="inlineStr">
        <is>
          <t>桃園市觀音區聖心一街175號對面工地</t>
        </is>
      </c>
      <c r="G553" t="n">
        <v>25.039152</v>
      </c>
      <c r="H553" t="n">
        <v>121.132064</v>
      </c>
      <c r="I553" t="n">
        <v>8</v>
      </c>
      <c r="J553" t="n">
        <v>3</v>
      </c>
      <c r="K553" t="n">
        <v>427.7</v>
      </c>
      <c r="L553" t="inlineStr">
        <is>
          <t>Primary</t>
        </is>
      </c>
    </row>
    <row r="554">
      <c r="A554" t="n">
        <v>4</v>
      </c>
      <c r="B554" s="24" t="inlineStr">
        <is>
          <t>S04</t>
        </is>
      </c>
      <c r="C554" t="inlineStr">
        <is>
          <t>PZ-A</t>
        </is>
      </c>
      <c r="D554" t="n">
        <v>34</v>
      </c>
      <c r="E554" t="inlineStr">
        <is>
          <t>H0997</t>
        </is>
      </c>
      <c r="F554" t="inlineStr">
        <is>
          <t>桃園市觀音區大觀路三段-25°02'24.5"N 121°07'52.8"E</t>
        </is>
      </c>
      <c r="G554" t="n">
        <v>25.040155</v>
      </c>
      <c r="H554" t="n">
        <v>121.13137</v>
      </c>
      <c r="I554" t="n">
        <v>8</v>
      </c>
      <c r="J554" t="n">
        <v>3</v>
      </c>
      <c r="K554" t="n">
        <v>438.7</v>
      </c>
      <c r="L554" t="inlineStr">
        <is>
          <t>Primary</t>
        </is>
      </c>
    </row>
    <row r="555">
      <c r="A555" t="n">
        <v>4</v>
      </c>
      <c r="B555" s="24" t="inlineStr">
        <is>
          <t>S04</t>
        </is>
      </c>
      <c r="C555" t="inlineStr">
        <is>
          <t>PZ-A</t>
        </is>
      </c>
      <c r="D555" t="n">
        <v>35</v>
      </c>
      <c r="E555" t="inlineStr">
        <is>
          <t>H1016</t>
        </is>
      </c>
      <c r="F555" t="inlineStr">
        <is>
          <t>桃園市觀音區民族路882號</t>
        </is>
      </c>
      <c r="G555" t="n">
        <v>25.03913</v>
      </c>
      <c r="H555" t="n">
        <v>121.127761</v>
      </c>
      <c r="I555" t="n">
        <v>8</v>
      </c>
      <c r="J555" t="n">
        <v>3</v>
      </c>
      <c r="K555" t="n">
        <v>449.7</v>
      </c>
      <c r="L555" t="inlineStr">
        <is>
          <t>Primary</t>
        </is>
      </c>
    </row>
    <row r="556">
      <c r="A556" t="n">
        <v>4</v>
      </c>
      <c r="B556" s="24" t="inlineStr">
        <is>
          <t>S04</t>
        </is>
      </c>
      <c r="C556" t="inlineStr">
        <is>
          <t>PZ-A</t>
        </is>
      </c>
      <c r="D556" t="n">
        <v>36</v>
      </c>
      <c r="E556" t="inlineStr">
        <is>
          <t>H1009</t>
        </is>
      </c>
      <c r="F556" t="inlineStr">
        <is>
          <t>桃園市觀音區文林路838號</t>
        </is>
      </c>
      <c r="G556" t="n">
        <v>25.03037</v>
      </c>
      <c r="H556" t="n">
        <v>121.123611</v>
      </c>
      <c r="I556" t="n">
        <v>8</v>
      </c>
      <c r="J556" t="n">
        <v>3</v>
      </c>
      <c r="K556" t="n">
        <v>460.7</v>
      </c>
      <c r="L556" t="inlineStr">
        <is>
          <t>Primary</t>
        </is>
      </c>
    </row>
    <row r="557">
      <c r="A557" t="n">
        <v>4</v>
      </c>
      <c r="B557" s="24" t="inlineStr">
        <is>
          <t>S04</t>
        </is>
      </c>
      <c r="C557" t="inlineStr">
        <is>
          <t>PZ-A</t>
        </is>
      </c>
      <c r="D557" t="n">
        <v>37</v>
      </c>
      <c r="E557" t="inlineStr">
        <is>
          <t>H1007</t>
        </is>
      </c>
      <c r="F557" t="inlineStr">
        <is>
          <t>桃園市觀音區中山路一段967巷65號</t>
        </is>
      </c>
      <c r="G557" t="n">
        <v>25.031684</v>
      </c>
      <c r="H557" t="n">
        <v>121.108078</v>
      </c>
      <c r="I557" t="n">
        <v>24</v>
      </c>
      <c r="J557" t="n">
        <v>3.8</v>
      </c>
      <c r="K557" t="n">
        <v>488.5</v>
      </c>
      <c r="L557" t="inlineStr">
        <is>
          <t>Primary</t>
        </is>
      </c>
    </row>
    <row r="558">
      <c r="A558" t="n">
        <v>4</v>
      </c>
      <c r="B558" s="24" t="inlineStr">
        <is>
          <t>S04</t>
        </is>
      </c>
      <c r="C558" t="inlineStr">
        <is>
          <t>PZ-A</t>
        </is>
      </c>
      <c r="D558" t="n">
        <v>38</v>
      </c>
      <c r="E558" t="inlineStr">
        <is>
          <t>H1006</t>
        </is>
      </c>
      <c r="F558" t="inlineStr">
        <is>
          <t>桃園市觀音區中山路一段781號旁</t>
        </is>
      </c>
      <c r="G558" t="n">
        <v>25.032053</v>
      </c>
      <c r="H558" t="n">
        <v>121.100803</v>
      </c>
      <c r="I558" t="n">
        <v>8</v>
      </c>
      <c r="J558" t="n">
        <v>3</v>
      </c>
      <c r="K558" t="n">
        <v>499.5</v>
      </c>
      <c r="L558" t="inlineStr">
        <is>
          <t>Primary</t>
        </is>
      </c>
    </row>
    <row r="559">
      <c r="A559" t="n">
        <v>4</v>
      </c>
      <c r="B559" s="24" t="inlineStr">
        <is>
          <t>S04</t>
        </is>
      </c>
      <c r="C559" t="inlineStr">
        <is>
          <t>PZ-A</t>
        </is>
      </c>
      <c r="D559" t="n">
        <v>39</v>
      </c>
      <c r="E559" t="inlineStr">
        <is>
          <t>H1005</t>
        </is>
      </c>
      <c r="F559" t="inlineStr">
        <is>
          <t>桃園市觀音區中山路一段700巷17號(近世紀鋼構)</t>
        </is>
      </c>
      <c r="G559" t="n">
        <v>25.031559</v>
      </c>
      <c r="H559" t="n">
        <v>121.098641</v>
      </c>
      <c r="I559" t="n">
        <v>8</v>
      </c>
      <c r="J559" t="n">
        <v>3</v>
      </c>
      <c r="K559" t="n">
        <v>510.5</v>
      </c>
      <c r="L559" t="inlineStr">
        <is>
          <t>Primary</t>
        </is>
      </c>
    </row>
    <row r="560">
      <c r="A560" t="n">
        <v>4</v>
      </c>
      <c r="B560" s="24" t="inlineStr">
        <is>
          <t>S04</t>
        </is>
      </c>
      <c r="C560" t="inlineStr">
        <is>
          <t>PZ-A</t>
        </is>
      </c>
      <c r="D560" t="n">
        <v>40</v>
      </c>
      <c r="E560" t="inlineStr">
        <is>
          <t>H1008</t>
        </is>
      </c>
      <c r="F560" t="inlineStr">
        <is>
          <t>桃園市觀音區文化路坑尾段339巷88弄78號旁</t>
        </is>
      </c>
      <c r="G560" t="n">
        <v>25.020875</v>
      </c>
      <c r="H560" t="n">
        <v>121.095269</v>
      </c>
      <c r="I560" t="n">
        <v>8</v>
      </c>
      <c r="J560" t="n">
        <v>3</v>
      </c>
      <c r="K560" t="n">
        <v>521.5</v>
      </c>
      <c r="L560" t="inlineStr">
        <is>
          <t>Primary</t>
        </is>
      </c>
    </row>
    <row r="561">
      <c r="A561" t="n">
        <v>5</v>
      </c>
      <c r="B561" s="24" t="inlineStr">
        <is>
          <t>S04</t>
        </is>
      </c>
      <c r="C561" t="inlineStr">
        <is>
          <t>PZ-A</t>
        </is>
      </c>
      <c r="D561" t="n">
        <v>1</v>
      </c>
      <c r="E561" t="inlineStr">
        <is>
          <t>H0251</t>
        </is>
      </c>
      <c r="F561" t="inlineStr">
        <is>
          <t>桃園市大園區富華段88-90地號-大園重劃區-附地標</t>
        </is>
      </c>
      <c r="G561" t="n">
        <v>25.060483</v>
      </c>
      <c r="H561" t="n">
        <v>121.255439</v>
      </c>
      <c r="I561" t="n">
        <v>8</v>
      </c>
      <c r="J561" t="n">
        <v>17.3</v>
      </c>
      <c r="K561" t="n">
        <v>25.3</v>
      </c>
      <c r="L561" t="inlineStr">
        <is>
          <t>Primary</t>
        </is>
      </c>
    </row>
    <row r="562">
      <c r="A562" t="n">
        <v>5</v>
      </c>
      <c r="B562" s="24" t="inlineStr">
        <is>
          <t>S04</t>
        </is>
      </c>
      <c r="C562" t="inlineStr">
        <is>
          <t>PZ-A</t>
        </is>
      </c>
      <c r="D562" t="n">
        <v>2</v>
      </c>
      <c r="E562" t="inlineStr">
        <is>
          <t>H0075</t>
        </is>
      </c>
      <c r="F562" t="inlineStr">
        <is>
          <t>桃園市大園區三民路二段929號(會合點)-追加</t>
        </is>
      </c>
      <c r="G562" t="n">
        <v>25.062069</v>
      </c>
      <c r="H562" t="n">
        <v>121.256486</v>
      </c>
      <c r="I562" t="n">
        <v>8</v>
      </c>
      <c r="J562" t="n">
        <v>3</v>
      </c>
      <c r="K562" t="n">
        <v>36.3</v>
      </c>
      <c r="L562" t="inlineStr">
        <is>
          <t>Primary</t>
        </is>
      </c>
    </row>
    <row r="563">
      <c r="A563" t="n">
        <v>5</v>
      </c>
      <c r="B563" s="24" t="inlineStr">
        <is>
          <t>S04</t>
        </is>
      </c>
      <c r="C563" t="inlineStr">
        <is>
          <t>PZ-A</t>
        </is>
      </c>
      <c r="D563" t="n">
        <v>3</v>
      </c>
      <c r="E563" t="inlineStr">
        <is>
          <t>H0117</t>
        </is>
      </c>
      <c r="F563" t="inlineStr">
        <is>
          <t>桃園市大園區大海里富華段419-420號-大園重劃區-附地標</t>
        </is>
      </c>
      <c r="G563" t="n">
        <v>25.062467</v>
      </c>
      <c r="H563" t="n">
        <v>121.258067</v>
      </c>
      <c r="I563" t="n">
        <v>8</v>
      </c>
      <c r="J563" t="n">
        <v>3</v>
      </c>
      <c r="K563" t="n">
        <v>47.3</v>
      </c>
      <c r="L563" t="inlineStr">
        <is>
          <t>Primary</t>
        </is>
      </c>
    </row>
    <row r="564">
      <c r="A564" t="n">
        <v>5</v>
      </c>
      <c r="B564" s="24" t="inlineStr">
        <is>
          <t>S04</t>
        </is>
      </c>
      <c r="C564" t="inlineStr">
        <is>
          <t>PZ-A</t>
        </is>
      </c>
      <c r="D564" t="n">
        <v>4</v>
      </c>
      <c r="E564" t="inlineStr">
        <is>
          <t>H0059</t>
        </is>
      </c>
      <c r="F564" t="inlineStr">
        <is>
          <t>桃園市大園區(蘆竹區)三民路２段957號(三民料場帳棚旁)附圖自行定位</t>
        </is>
      </c>
      <c r="G564" t="n">
        <v>25.0670712</v>
      </c>
      <c r="H564" t="n">
        <v>121.2621096</v>
      </c>
      <c r="I564" t="n">
        <v>32</v>
      </c>
      <c r="J564" t="n">
        <v>3</v>
      </c>
      <c r="K564" t="n">
        <v>82.3</v>
      </c>
      <c r="L564" t="inlineStr">
        <is>
          <t>Primary</t>
        </is>
      </c>
    </row>
    <row r="565">
      <c r="A565" t="n">
        <v>5</v>
      </c>
      <c r="B565" s="24" t="inlineStr">
        <is>
          <t>S04</t>
        </is>
      </c>
      <c r="C565" t="inlineStr">
        <is>
          <t>PZ-A</t>
        </is>
      </c>
      <c r="D565" t="n">
        <v>5</v>
      </c>
      <c r="E565" t="inlineStr">
        <is>
          <t>H0074</t>
        </is>
      </c>
      <c r="F565" t="inlineStr">
        <is>
          <t>桃園市大園區三民路二段929號(會合點)</t>
        </is>
      </c>
      <c r="G565" t="n">
        <v>25.069003</v>
      </c>
      <c r="H565" t="n">
        <v>121.260953</v>
      </c>
      <c r="I565" t="n">
        <v>8</v>
      </c>
      <c r="J565" t="n">
        <v>3</v>
      </c>
      <c r="K565" t="n">
        <v>93.3</v>
      </c>
      <c r="L565" t="inlineStr">
        <is>
          <t>Primary</t>
        </is>
      </c>
    </row>
    <row r="566">
      <c r="A566" t="n">
        <v>5</v>
      </c>
      <c r="B566" s="24" t="inlineStr">
        <is>
          <t>S04</t>
        </is>
      </c>
      <c r="C566" t="inlineStr">
        <is>
          <t>PZ-A</t>
        </is>
      </c>
      <c r="D566" t="n">
        <v>6</v>
      </c>
      <c r="E566" t="inlineStr">
        <is>
          <t>H0064</t>
        </is>
      </c>
      <c r="F566" t="inlineStr">
        <is>
          <t>桃園市大園區?林路172號-A棟</t>
        </is>
      </c>
      <c r="G566" t="n">
        <v>25.07642</v>
      </c>
      <c r="H566" t="n">
        <v>121.258</v>
      </c>
      <c r="I566" t="n">
        <v>8</v>
      </c>
      <c r="J566" t="n">
        <v>3</v>
      </c>
      <c r="K566" t="n">
        <v>104.3</v>
      </c>
      <c r="L566" t="inlineStr">
        <is>
          <t>Primary</t>
        </is>
      </c>
    </row>
    <row r="567">
      <c r="A567" t="n">
        <v>5</v>
      </c>
      <c r="B567" s="24" t="inlineStr">
        <is>
          <t>S04</t>
        </is>
      </c>
      <c r="C567" t="inlineStr">
        <is>
          <t>PZ-A</t>
        </is>
      </c>
      <c r="D567" t="n">
        <v>7</v>
      </c>
      <c r="E567" t="inlineStr">
        <is>
          <t>H0082</t>
        </is>
      </c>
      <c r="F567" t="inlineStr">
        <is>
          <t>桃園市大園區三石里7-73號-大園航空城  從三民路二段849號進去</t>
        </is>
      </c>
      <c r="G567" t="n">
        <v>25.066069</v>
      </c>
      <c r="H567" t="n">
        <v>121.250578</v>
      </c>
      <c r="I567" t="n">
        <v>8</v>
      </c>
      <c r="J567" t="n">
        <v>3.3</v>
      </c>
      <c r="K567" t="n">
        <v>115.6</v>
      </c>
      <c r="L567" t="inlineStr">
        <is>
          <t>Primary</t>
        </is>
      </c>
    </row>
    <row r="568">
      <c r="A568" t="n">
        <v>5</v>
      </c>
      <c r="B568" s="24" t="inlineStr">
        <is>
          <t>S04</t>
        </is>
      </c>
      <c r="C568" t="inlineStr">
        <is>
          <t>PZ-A</t>
        </is>
      </c>
      <c r="D568" t="n">
        <v>8</v>
      </c>
      <c r="E568" t="inlineStr">
        <is>
          <t>H0085</t>
        </is>
      </c>
      <c r="F568" t="inlineStr">
        <is>
          <t>桃園市大園區三石段217地號-三民路二段859號對面會合點</t>
        </is>
      </c>
      <c r="G568" t="n">
        <v>25.065411</v>
      </c>
      <c r="H568" t="n">
        <v>121.248791</v>
      </c>
      <c r="I568" t="n">
        <v>8</v>
      </c>
      <c r="J568" t="n">
        <v>3</v>
      </c>
      <c r="K568" t="n">
        <v>126.6</v>
      </c>
      <c r="L568" t="inlineStr">
        <is>
          <t>Primary</t>
        </is>
      </c>
    </row>
    <row r="569">
      <c r="A569" t="n">
        <v>5</v>
      </c>
      <c r="B569" s="24" t="inlineStr">
        <is>
          <t>S04</t>
        </is>
      </c>
      <c r="C569" t="inlineStr">
        <is>
          <t>PZ-A</t>
        </is>
      </c>
      <c r="D569" t="n">
        <v>9</v>
      </c>
      <c r="E569" t="inlineStr">
        <is>
          <t>H0964</t>
        </is>
      </c>
      <c r="F569" t="inlineStr">
        <is>
          <t>桃園市蘆竹區海山路二段93巷90弄50號</t>
        </is>
      </c>
      <c r="G569" t="n">
        <v>25.100944</v>
      </c>
      <c r="H569" t="n">
        <v>121.258806</v>
      </c>
      <c r="I569" t="n">
        <v>8</v>
      </c>
      <c r="J569" t="n">
        <v>9.800000000000001</v>
      </c>
      <c r="K569" t="n">
        <v>144.4</v>
      </c>
      <c r="L569" t="inlineStr">
        <is>
          <t>Primary</t>
        </is>
      </c>
    </row>
    <row r="570">
      <c r="A570" t="n">
        <v>5</v>
      </c>
      <c r="B570" s="24" t="inlineStr">
        <is>
          <t>S04</t>
        </is>
      </c>
      <c r="C570" t="inlineStr">
        <is>
          <t>PZ-A</t>
        </is>
      </c>
      <c r="D570" t="n">
        <v>10</v>
      </c>
      <c r="E570" t="inlineStr">
        <is>
          <t>H0963</t>
        </is>
      </c>
      <c r="F570" t="inlineStr">
        <is>
          <t>桃園市蘆竹區海山路二段485號旁</t>
        </is>
      </c>
      <c r="G570" t="n">
        <v>25.109967</v>
      </c>
      <c r="H570" t="n">
        <v>121.254839</v>
      </c>
      <c r="I570" t="n">
        <v>8</v>
      </c>
      <c r="J570" t="n">
        <v>3</v>
      </c>
      <c r="K570" t="n">
        <v>155.4</v>
      </c>
      <c r="L570" t="inlineStr">
        <is>
          <t>Primary</t>
        </is>
      </c>
    </row>
    <row r="571">
      <c r="A571" t="n">
        <v>5</v>
      </c>
      <c r="B571" s="24" t="inlineStr">
        <is>
          <t>S04</t>
        </is>
      </c>
      <c r="C571" t="inlineStr">
        <is>
          <t>PZ-A</t>
        </is>
      </c>
      <c r="D571" t="n">
        <v>11</v>
      </c>
      <c r="E571" t="inlineStr">
        <is>
          <t>H0999</t>
        </is>
      </c>
      <c r="F571" t="inlineStr">
        <is>
          <t>桃園市觀音區工業一路18號-聯華</t>
        </is>
      </c>
      <c r="G571" t="n">
        <v>25.0684355</v>
      </c>
      <c r="H571" t="n">
        <v>121.12647575</v>
      </c>
      <c r="I571" t="n">
        <v>106</v>
      </c>
      <c r="J571" t="n">
        <v>13.7</v>
      </c>
      <c r="K571" t="n">
        <v>275.1</v>
      </c>
      <c r="L571" t="inlineStr">
        <is>
          <t>Primary</t>
        </is>
      </c>
    </row>
    <row r="572">
      <c r="A572" t="n">
        <v>5</v>
      </c>
      <c r="B572" s="24" t="inlineStr">
        <is>
          <t>S04</t>
        </is>
      </c>
      <c r="C572" t="inlineStr">
        <is>
          <t>PZ-A</t>
        </is>
      </c>
      <c r="D572" t="n">
        <v>12</v>
      </c>
      <c r="E572" t="inlineStr">
        <is>
          <t>H1080</t>
        </is>
      </c>
      <c r="F572" t="inlineStr">
        <is>
          <t>桃園市觀音區經建六路29號</t>
        </is>
      </c>
      <c r="G572" t="n">
        <v>25.067536</v>
      </c>
      <c r="H572" t="n">
        <v>121.124353</v>
      </c>
      <c r="I572" t="n">
        <v>16</v>
      </c>
      <c r="J572" t="n">
        <v>3</v>
      </c>
      <c r="K572" t="n">
        <v>294.1</v>
      </c>
      <c r="L572" t="inlineStr">
        <is>
          <t>Primary</t>
        </is>
      </c>
    </row>
    <row r="573">
      <c r="A573" t="n">
        <v>5</v>
      </c>
      <c r="B573" s="24" t="inlineStr">
        <is>
          <t>S04</t>
        </is>
      </c>
      <c r="C573" t="inlineStr">
        <is>
          <t>PZ-A</t>
        </is>
      </c>
      <c r="D573" t="n">
        <v>13</v>
      </c>
      <c r="E573" t="inlineStr">
        <is>
          <t>H1000</t>
        </is>
      </c>
      <c r="F573" t="inlineStr">
        <is>
          <t>桃園市觀音區工業七路10號</t>
        </is>
      </c>
      <c r="G573" t="n">
        <v>25.0527646</v>
      </c>
      <c r="H573" t="n">
        <v>121.1064359</v>
      </c>
      <c r="I573" t="n">
        <v>32</v>
      </c>
      <c r="J573" t="n">
        <v>5.9</v>
      </c>
      <c r="K573" t="n">
        <v>332</v>
      </c>
      <c r="L573" t="inlineStr">
        <is>
          <t>Primary</t>
        </is>
      </c>
    </row>
    <row r="574">
      <c r="A574" t="n">
        <v>5</v>
      </c>
      <c r="B574" s="24" t="inlineStr">
        <is>
          <t>S04</t>
        </is>
      </c>
      <c r="C574" t="inlineStr">
        <is>
          <t>PZ-A</t>
        </is>
      </c>
      <c r="D574" t="n">
        <v>14</v>
      </c>
      <c r="E574" t="inlineStr">
        <is>
          <t>H1021</t>
        </is>
      </c>
      <c r="F574" t="inlineStr">
        <is>
          <t>桃園市觀音區白玉三路上近桃科七路工地</t>
        </is>
      </c>
      <c r="G574" t="n">
        <v>25.048883</v>
      </c>
      <c r="H574" t="n">
        <v>121.085727</v>
      </c>
      <c r="I574" t="n">
        <v>8</v>
      </c>
      <c r="J574" t="n">
        <v>5.1</v>
      </c>
      <c r="K574" t="n">
        <v>345.1</v>
      </c>
      <c r="L574" t="inlineStr">
        <is>
          <t>Primary</t>
        </is>
      </c>
    </row>
    <row r="575">
      <c r="A575" t="n">
        <v>5</v>
      </c>
      <c r="B575" s="24" t="inlineStr">
        <is>
          <t>S04</t>
        </is>
      </c>
      <c r="C575" t="inlineStr">
        <is>
          <t>PZ-A</t>
        </is>
      </c>
      <c r="D575" t="n">
        <v>15</v>
      </c>
      <c r="E575" t="inlineStr">
        <is>
          <t>H1106</t>
        </is>
      </c>
      <c r="F575" t="inlineStr">
        <is>
          <t>桃園市觀音區環科路528號-聯華二期</t>
        </is>
      </c>
      <c r="G575" t="n">
        <v>25.041255</v>
      </c>
      <c r="H575" t="n">
        <v>121.067928</v>
      </c>
      <c r="I575" t="n">
        <v>32</v>
      </c>
      <c r="J575" t="n">
        <v>4.8</v>
      </c>
      <c r="K575" t="n">
        <v>381.9</v>
      </c>
      <c r="L575" t="inlineStr">
        <is>
          <t>Primary</t>
        </is>
      </c>
    </row>
    <row r="576">
      <c r="A576" t="n">
        <v>5</v>
      </c>
      <c r="B576" s="24" t="inlineStr">
        <is>
          <t>S04</t>
        </is>
      </c>
      <c r="C576" t="inlineStr">
        <is>
          <t>PZ-A</t>
        </is>
      </c>
      <c r="D576" t="n">
        <v>16</v>
      </c>
      <c r="E576" t="inlineStr">
        <is>
          <t>H0989</t>
        </is>
      </c>
      <c r="F576" t="inlineStr">
        <is>
          <t>桃園市觀音區大潭北路399號</t>
        </is>
      </c>
      <c r="G576" t="n">
        <v>25.037608</v>
      </c>
      <c r="H576" t="n">
        <v>121.06415</v>
      </c>
      <c r="I576" t="n">
        <v>16</v>
      </c>
      <c r="J576" t="n">
        <v>3</v>
      </c>
      <c r="K576" t="n">
        <v>400.9</v>
      </c>
      <c r="L576" t="inlineStr">
        <is>
          <t>Primary</t>
        </is>
      </c>
    </row>
    <row r="577">
      <c r="A577" t="n">
        <v>5</v>
      </c>
      <c r="B577" s="24" t="inlineStr">
        <is>
          <t>S04</t>
        </is>
      </c>
      <c r="C577" t="inlineStr">
        <is>
          <t>PZ-A</t>
        </is>
      </c>
      <c r="D577" t="n">
        <v>17</v>
      </c>
      <c r="E577" t="inlineStr">
        <is>
          <t>H1047</t>
        </is>
      </c>
      <c r="F577" t="inlineStr">
        <is>
          <t>桃園市觀音區保生二街107號</t>
        </is>
      </c>
      <c r="G577" t="n">
        <v>25.025523</v>
      </c>
      <c r="H577" t="n">
        <v>121.059214</v>
      </c>
      <c r="I577" t="n">
        <v>16</v>
      </c>
      <c r="J577" t="n">
        <v>3.4</v>
      </c>
      <c r="K577" t="n">
        <v>420.3</v>
      </c>
      <c r="L577" t="inlineStr">
        <is>
          <t>Primary</t>
        </is>
      </c>
    </row>
    <row r="578">
      <c r="A578" t="n">
        <v>5</v>
      </c>
      <c r="B578" s="24" t="inlineStr">
        <is>
          <t>S04</t>
        </is>
      </c>
      <c r="C578" t="inlineStr">
        <is>
          <t>PZ-A</t>
        </is>
      </c>
      <c r="D578" t="n">
        <v>18</v>
      </c>
      <c r="E578" t="inlineStr">
        <is>
          <t>H1104</t>
        </is>
      </c>
      <c r="F578" t="inlineStr">
        <is>
          <t>桃園市觀音區濱海路保生段306巷</t>
        </is>
      </c>
      <c r="G578" t="n">
        <v>25.01860625</v>
      </c>
      <c r="H578" t="n">
        <v>121.04960025</v>
      </c>
      <c r="I578" t="n">
        <v>32</v>
      </c>
      <c r="J578" t="n">
        <v>3</v>
      </c>
      <c r="K578" t="n">
        <v>455.3</v>
      </c>
      <c r="L578" t="inlineStr">
        <is>
          <t>Primary</t>
        </is>
      </c>
    </row>
    <row r="579">
      <c r="A579" t="n">
        <v>5</v>
      </c>
      <c r="B579" s="24" t="inlineStr">
        <is>
          <t>S04</t>
        </is>
      </c>
      <c r="C579" t="inlineStr">
        <is>
          <t>PZ-D</t>
        </is>
      </c>
      <c r="D579" t="n">
        <v>19</v>
      </c>
      <c r="E579" t="inlineStr">
        <is>
          <t>K0024</t>
        </is>
      </c>
      <c r="F579" t="inlineStr">
        <is>
          <t>苗栗縣竹南鎮科專一路&amp;科學路交叉口工地</t>
        </is>
      </c>
      <c r="G579" t="n">
        <v>24.713544</v>
      </c>
      <c r="H579" t="n">
        <v>120.9094</v>
      </c>
      <c r="I579" t="n">
        <v>8</v>
      </c>
      <c r="J579" t="n">
        <v>36.8</v>
      </c>
      <c r="K579" t="n">
        <v>500.1</v>
      </c>
      <c r="L579" s="21" t="inlineStr">
        <is>
          <t>Support</t>
        </is>
      </c>
    </row>
    <row r="580">
      <c r="A580" t="n">
        <v>6</v>
      </c>
      <c r="B580" s="24" t="inlineStr">
        <is>
          <t>S04</t>
        </is>
      </c>
      <c r="C580" t="inlineStr">
        <is>
          <t>PZ-C</t>
        </is>
      </c>
      <c r="D580" t="n">
        <v>1</v>
      </c>
      <c r="E580" t="inlineStr">
        <is>
          <t>J0006</t>
        </is>
      </c>
      <c r="F580" t="inlineStr">
        <is>
          <t>新竹縣竹北市中華路1巷100號-自行定位-附定位照</t>
        </is>
      </c>
      <c r="G580" t="n">
        <v>24.826814</v>
      </c>
      <c r="H580" t="n">
        <v>120.991541</v>
      </c>
      <c r="I580" t="n">
        <v>8</v>
      </c>
      <c r="J580" t="n">
        <v>25.3</v>
      </c>
      <c r="K580" t="n">
        <v>33.3</v>
      </c>
      <c r="L580" s="21" t="inlineStr">
        <is>
          <t>Support</t>
        </is>
      </c>
    </row>
    <row r="581">
      <c r="A581" t="n">
        <v>6</v>
      </c>
      <c r="B581" s="24" t="inlineStr">
        <is>
          <t>S04</t>
        </is>
      </c>
      <c r="C581" t="inlineStr">
        <is>
          <t>PZ-C</t>
        </is>
      </c>
      <c r="D581" t="n">
        <v>2</v>
      </c>
      <c r="E581" t="inlineStr">
        <is>
          <t>O0018</t>
        </is>
      </c>
      <c r="F581" t="inlineStr">
        <is>
          <t>新竹市北區東大路３段311-1號</t>
        </is>
      </c>
      <c r="G581" t="n">
        <v>24.835044</v>
      </c>
      <c r="H581" t="n">
        <v>120.944644</v>
      </c>
      <c r="I581" t="n">
        <v>5</v>
      </c>
      <c r="J581" t="n">
        <v>11.6</v>
      </c>
      <c r="K581" t="n">
        <v>49.9</v>
      </c>
      <c r="L581" s="21" t="inlineStr">
        <is>
          <t>Support</t>
        </is>
      </c>
    </row>
    <row r="582">
      <c r="A582" t="n">
        <v>6</v>
      </c>
      <c r="B582" s="24" t="inlineStr">
        <is>
          <t>S04</t>
        </is>
      </c>
      <c r="C582" t="inlineStr">
        <is>
          <t>PZ-C</t>
        </is>
      </c>
      <c r="D582" t="n">
        <v>3</v>
      </c>
      <c r="E582" t="inlineStr">
        <is>
          <t>O0091</t>
        </is>
      </c>
      <c r="F582" t="inlineStr">
        <is>
          <t>新竹市香山區東香路二段61號旁工地</t>
        </is>
      </c>
      <c r="G582" t="n">
        <v>24.773667</v>
      </c>
      <c r="H582" t="n">
        <v>120.950047</v>
      </c>
      <c r="I582" t="n">
        <v>8</v>
      </c>
      <c r="J582" t="n">
        <v>16.4</v>
      </c>
      <c r="K582" t="n">
        <v>74.3</v>
      </c>
      <c r="L582" s="21" t="inlineStr">
        <is>
          <t>Support</t>
        </is>
      </c>
    </row>
    <row r="583">
      <c r="A583" t="n">
        <v>6</v>
      </c>
      <c r="B583" s="24" t="inlineStr">
        <is>
          <t>S04</t>
        </is>
      </c>
      <c r="C583" t="inlineStr">
        <is>
          <t>PZ-C</t>
        </is>
      </c>
      <c r="D583" t="n">
        <v>4</v>
      </c>
      <c r="E583" t="inlineStr">
        <is>
          <t>J0217</t>
        </is>
      </c>
      <c r="F583" t="inlineStr">
        <is>
          <t>新竹縣寶山鄉大雅一街110號-會分散擺放-雙龍料廠</t>
        </is>
      </c>
      <c r="G583" t="n">
        <v>24.753347</v>
      </c>
      <c r="H583" t="n">
        <v>121.002864</v>
      </c>
      <c r="I583" t="n">
        <v>32</v>
      </c>
      <c r="J583" t="n">
        <v>13.9</v>
      </c>
      <c r="K583" t="n">
        <v>120.2</v>
      </c>
      <c r="L583" s="21" t="inlineStr">
        <is>
          <t>Support</t>
        </is>
      </c>
    </row>
    <row r="584">
      <c r="A584" t="n">
        <v>1</v>
      </c>
      <c r="B584" s="25" t="inlineStr">
        <is>
          <t>S05</t>
        </is>
      </c>
      <c r="C584" t="inlineStr">
        <is>
          <t>PZ-B</t>
        </is>
      </c>
      <c r="D584" t="n">
        <v>1</v>
      </c>
      <c r="E584" t="inlineStr">
        <is>
          <t>H0497</t>
        </is>
      </c>
      <c r="F584" t="inlineStr">
        <is>
          <t>桃園市平鎮區快速路二段125巷18之5號-熊熊可麗餅旁宮廟</t>
        </is>
      </c>
      <c r="G584" t="n">
        <v>24.908281</v>
      </c>
      <c r="H584" t="n">
        <v>121.227909</v>
      </c>
      <c r="I584" t="n">
        <v>8</v>
      </c>
      <c r="J584" t="n">
        <v>3</v>
      </c>
      <c r="K584" t="n">
        <v>11</v>
      </c>
      <c r="L584" t="inlineStr">
        <is>
          <t>Primary</t>
        </is>
      </c>
    </row>
    <row r="585">
      <c r="A585" t="n">
        <v>1</v>
      </c>
      <c r="B585" s="25" t="inlineStr">
        <is>
          <t>S05</t>
        </is>
      </c>
      <c r="C585" t="inlineStr">
        <is>
          <t>PZ-B</t>
        </is>
      </c>
      <c r="D585" t="n">
        <v>2</v>
      </c>
      <c r="E585" t="inlineStr">
        <is>
          <t>H0515</t>
        </is>
      </c>
      <c r="F585" t="inlineStr">
        <is>
          <t>桃園市平鎮區建安路112巷95號對面</t>
        </is>
      </c>
      <c r="G585" t="n">
        <v>24.9162445</v>
      </c>
      <c r="H585" t="n">
        <v>121.2355135</v>
      </c>
      <c r="I585" t="n">
        <v>16</v>
      </c>
      <c r="J585" t="n">
        <v>3</v>
      </c>
      <c r="K585" t="n">
        <v>30</v>
      </c>
      <c r="L585" t="inlineStr">
        <is>
          <t>Primary</t>
        </is>
      </c>
    </row>
    <row r="586">
      <c r="A586" t="n">
        <v>1</v>
      </c>
      <c r="B586" s="25" t="inlineStr">
        <is>
          <t>S05</t>
        </is>
      </c>
      <c r="C586" t="inlineStr">
        <is>
          <t>PZ-B</t>
        </is>
      </c>
      <c r="D586" t="n">
        <v>3</v>
      </c>
      <c r="E586" t="inlineStr">
        <is>
          <t>H0544</t>
        </is>
      </c>
      <c r="F586" t="inlineStr">
        <is>
          <t>桃園市平鎮區營德路54號對面</t>
        </is>
      </c>
      <c r="G586" t="n">
        <v>24.925453</v>
      </c>
      <c r="H586" t="n">
        <v>121.237541</v>
      </c>
      <c r="I586" t="n">
        <v>8</v>
      </c>
      <c r="J586" t="n">
        <v>3</v>
      </c>
      <c r="K586" t="n">
        <v>41</v>
      </c>
      <c r="L586" t="inlineStr">
        <is>
          <t>Primary</t>
        </is>
      </c>
    </row>
    <row r="587">
      <c r="A587" t="n">
        <v>1</v>
      </c>
      <c r="B587" s="25" t="inlineStr">
        <is>
          <t>S05</t>
        </is>
      </c>
      <c r="C587" t="inlineStr">
        <is>
          <t>PZ-B</t>
        </is>
      </c>
      <c r="D587" t="n">
        <v>4</v>
      </c>
      <c r="E587" t="inlineStr">
        <is>
          <t>H0469</t>
        </is>
      </c>
      <c r="F587" t="inlineStr">
        <is>
          <t>桃園市中壢區龍岡路３段742號</t>
        </is>
      </c>
      <c r="G587" t="n">
        <v>24.92644</v>
      </c>
      <c r="H587" t="n">
        <v>121.24333</v>
      </c>
      <c r="I587" t="n">
        <v>8</v>
      </c>
      <c r="J587" t="n">
        <v>3</v>
      </c>
      <c r="K587" t="n">
        <v>52</v>
      </c>
      <c r="L587" t="inlineStr">
        <is>
          <t>Primary</t>
        </is>
      </c>
    </row>
    <row r="588">
      <c r="A588" t="n">
        <v>1</v>
      </c>
      <c r="B588" s="25" t="inlineStr">
        <is>
          <t>S05</t>
        </is>
      </c>
      <c r="C588" t="inlineStr">
        <is>
          <t>PZ-B</t>
        </is>
      </c>
      <c r="D588" t="n">
        <v>5</v>
      </c>
      <c r="E588" t="inlineStr">
        <is>
          <t>H0419</t>
        </is>
      </c>
      <c r="F588" t="inlineStr">
        <is>
          <t>桃園市中壢區後寮一路321巷50號旁</t>
        </is>
      </c>
      <c r="G588" t="n">
        <v>24.936469</v>
      </c>
      <c r="H588" t="n">
        <v>121.247152</v>
      </c>
      <c r="I588" t="n">
        <v>8</v>
      </c>
      <c r="J588" t="n">
        <v>3</v>
      </c>
      <c r="K588" t="n">
        <v>63</v>
      </c>
      <c r="L588" t="inlineStr">
        <is>
          <t>Primary</t>
        </is>
      </c>
    </row>
    <row r="589">
      <c r="A589" t="n">
        <v>1</v>
      </c>
      <c r="B589" s="25" t="inlineStr">
        <is>
          <t>S05</t>
        </is>
      </c>
      <c r="C589" t="inlineStr">
        <is>
          <t>PZ-B</t>
        </is>
      </c>
      <c r="D589" t="n">
        <v>6</v>
      </c>
      <c r="E589" t="inlineStr">
        <is>
          <t>H0472</t>
        </is>
      </c>
      <c r="F589" t="inlineStr">
        <is>
          <t>桃園市中壢區龍昌路226巷70號旁</t>
        </is>
      </c>
      <c r="G589" t="n">
        <v>24.936497</v>
      </c>
      <c r="H589" t="n">
        <v>121.24735</v>
      </c>
      <c r="I589" t="n">
        <v>8</v>
      </c>
      <c r="J589" t="n">
        <v>2</v>
      </c>
      <c r="K589" t="n">
        <v>73</v>
      </c>
      <c r="L589" t="inlineStr">
        <is>
          <t>Primary</t>
        </is>
      </c>
    </row>
    <row r="590">
      <c r="A590" t="n">
        <v>1</v>
      </c>
      <c r="B590" s="25" t="inlineStr">
        <is>
          <t>S05</t>
        </is>
      </c>
      <c r="C590" t="inlineStr">
        <is>
          <t>PZ-B</t>
        </is>
      </c>
      <c r="D590" t="n">
        <v>7</v>
      </c>
      <c r="E590" t="inlineStr">
        <is>
          <t>H0389</t>
        </is>
      </c>
      <c r="F590" t="inlineStr">
        <is>
          <t>桃園市中壢區至善里龍昌路128號</t>
        </is>
      </c>
      <c r="G590" t="n">
        <v>24.938841</v>
      </c>
      <c r="H590" t="n">
        <v>121.249625</v>
      </c>
      <c r="I590" t="n">
        <v>8</v>
      </c>
      <c r="J590" t="n">
        <v>3</v>
      </c>
      <c r="K590" t="n">
        <v>84</v>
      </c>
      <c r="L590" t="inlineStr">
        <is>
          <t>Primary</t>
        </is>
      </c>
    </row>
    <row r="591">
      <c r="A591" t="n">
        <v>1</v>
      </c>
      <c r="B591" s="25" t="inlineStr">
        <is>
          <t>S05</t>
        </is>
      </c>
      <c r="C591" t="inlineStr">
        <is>
          <t>PZ-B</t>
        </is>
      </c>
      <c r="D591" t="n">
        <v>8</v>
      </c>
      <c r="E591" t="inlineStr">
        <is>
          <t>H0455</t>
        </is>
      </c>
      <c r="F591" t="inlineStr">
        <is>
          <t>桃園市中壢區榮民南路800號-士校生態埤塘公園-自行定位-附圖</t>
        </is>
      </c>
      <c r="G591" t="n">
        <v>24.9407023</v>
      </c>
      <c r="H591" t="n">
        <v>121.2564683</v>
      </c>
      <c r="I591" t="n">
        <v>32</v>
      </c>
      <c r="J591" t="n">
        <v>3</v>
      </c>
      <c r="K591" t="n">
        <v>119</v>
      </c>
      <c r="L591" t="inlineStr">
        <is>
          <t>Primary</t>
        </is>
      </c>
    </row>
    <row r="592">
      <c r="A592" t="n">
        <v>1</v>
      </c>
      <c r="B592" s="25" t="inlineStr">
        <is>
          <t>S05</t>
        </is>
      </c>
      <c r="C592" t="inlineStr">
        <is>
          <t>PZ-B</t>
        </is>
      </c>
      <c r="D592" t="n">
        <v>9</v>
      </c>
      <c r="E592" t="inlineStr">
        <is>
          <t>H0455</t>
        </is>
      </c>
      <c r="F592" t="inlineStr">
        <is>
          <t>桃園市中壢區榮民南路800號-士校生態埤塘公園-自行定位-附圖</t>
        </is>
      </c>
      <c r="G592" t="n">
        <v>24.940797</v>
      </c>
      <c r="H592" t="n">
        <v>121.259133</v>
      </c>
      <c r="I592" t="n">
        <v>32</v>
      </c>
      <c r="J592" t="n">
        <v>3</v>
      </c>
      <c r="K592" t="n">
        <v>154</v>
      </c>
      <c r="L592" t="inlineStr">
        <is>
          <t>Primary</t>
        </is>
      </c>
    </row>
    <row r="593">
      <c r="A593" t="n">
        <v>1</v>
      </c>
      <c r="B593" s="25" t="inlineStr">
        <is>
          <t>S05</t>
        </is>
      </c>
      <c r="C593" t="inlineStr">
        <is>
          <t>PZ-B</t>
        </is>
      </c>
      <c r="D593" t="n">
        <v>10</v>
      </c>
      <c r="E593" t="inlineStr">
        <is>
          <t>H0002</t>
        </is>
      </c>
      <c r="F593" t="inlineStr">
        <is>
          <t>桃園市八德區山下街50巷內</t>
        </is>
      </c>
      <c r="G593" t="n">
        <v>24.934908</v>
      </c>
      <c r="H593" t="n">
        <v>121.265289</v>
      </c>
      <c r="I593" t="n">
        <v>8</v>
      </c>
      <c r="J593" t="n">
        <v>3</v>
      </c>
      <c r="K593" t="n">
        <v>165</v>
      </c>
      <c r="L593" t="inlineStr">
        <is>
          <t>Primary</t>
        </is>
      </c>
    </row>
    <row r="594">
      <c r="A594" t="n">
        <v>1</v>
      </c>
      <c r="B594" s="25" t="inlineStr">
        <is>
          <t>S05</t>
        </is>
      </c>
      <c r="C594" t="inlineStr">
        <is>
          <t>PZ-B</t>
        </is>
      </c>
      <c r="D594" t="n">
        <v>11</v>
      </c>
      <c r="E594" t="inlineStr">
        <is>
          <t>H0045</t>
        </is>
      </c>
      <c r="F594" t="inlineStr">
        <is>
          <t>桃園市八德區新興路1472巷旁</t>
        </is>
      </c>
      <c r="G594" t="n">
        <v>24.934019</v>
      </c>
      <c r="H594" t="n">
        <v>121.265289</v>
      </c>
      <c r="I594" t="n">
        <v>8</v>
      </c>
      <c r="J594" t="n">
        <v>2</v>
      </c>
      <c r="K594" t="n">
        <v>175</v>
      </c>
      <c r="L594" t="inlineStr">
        <is>
          <t>Primary</t>
        </is>
      </c>
    </row>
    <row r="595">
      <c r="A595" t="n">
        <v>1</v>
      </c>
      <c r="B595" s="25" t="inlineStr">
        <is>
          <t>S05</t>
        </is>
      </c>
      <c r="C595" t="inlineStr">
        <is>
          <t>PZ-B</t>
        </is>
      </c>
      <c r="D595" t="n">
        <v>12</v>
      </c>
      <c r="E595" t="inlineStr">
        <is>
          <t>H0025</t>
        </is>
      </c>
      <c r="F595" t="inlineStr">
        <is>
          <t>桃園市八德區長興路493巷150號旁</t>
        </is>
      </c>
      <c r="G595" t="n">
        <v>24.929195</v>
      </c>
      <c r="H595" t="n">
        <v>121.2700746666667</v>
      </c>
      <c r="I595" t="n">
        <v>24</v>
      </c>
      <c r="J595" t="n">
        <v>3</v>
      </c>
      <c r="K595" t="n">
        <v>202</v>
      </c>
      <c r="L595" t="inlineStr">
        <is>
          <t>Primary</t>
        </is>
      </c>
    </row>
    <row r="596">
      <c r="A596" t="n">
        <v>1</v>
      </c>
      <c r="B596" s="25" t="inlineStr">
        <is>
          <t>S05</t>
        </is>
      </c>
      <c r="C596" t="inlineStr">
        <is>
          <t>PZ-B</t>
        </is>
      </c>
      <c r="D596" t="n">
        <v>13</v>
      </c>
      <c r="E596" t="inlineStr">
        <is>
          <t>H0306</t>
        </is>
      </c>
      <c r="F596" t="inlineStr">
        <is>
          <t>桃園市大溪區埔頂路一段357巷928弄</t>
        </is>
      </c>
      <c r="G596" t="n">
        <v>24.922556</v>
      </c>
      <c r="H596" t="n">
        <v>121.271145</v>
      </c>
      <c r="I596" t="n">
        <v>8</v>
      </c>
      <c r="J596" t="n">
        <v>3</v>
      </c>
      <c r="K596" t="n">
        <v>213</v>
      </c>
      <c r="L596" t="inlineStr">
        <is>
          <t>Primary</t>
        </is>
      </c>
    </row>
    <row r="597">
      <c r="A597" t="n">
        <v>1</v>
      </c>
      <c r="B597" s="25" t="inlineStr">
        <is>
          <t>S05</t>
        </is>
      </c>
      <c r="C597" t="inlineStr">
        <is>
          <t>PZ-B</t>
        </is>
      </c>
      <c r="D597" t="n">
        <v>14</v>
      </c>
      <c r="E597" t="inlineStr">
        <is>
          <t>H0052</t>
        </is>
      </c>
      <c r="F597" t="inlineStr">
        <is>
          <t>桃園市八德區霄裡路412號旁</t>
        </is>
      </c>
      <c r="G597" t="n">
        <v>24.92776</v>
      </c>
      <c r="H597" t="n">
        <v>121.260825</v>
      </c>
      <c r="I597" t="n">
        <v>16</v>
      </c>
      <c r="J597" t="n">
        <v>3</v>
      </c>
      <c r="K597" t="n">
        <v>232</v>
      </c>
      <c r="L597" t="inlineStr">
        <is>
          <t>Primary</t>
        </is>
      </c>
    </row>
    <row r="598">
      <c r="A598" t="n">
        <v>1</v>
      </c>
      <c r="B598" s="25" t="inlineStr">
        <is>
          <t>S05</t>
        </is>
      </c>
      <c r="C598" t="inlineStr">
        <is>
          <t>PZ-B</t>
        </is>
      </c>
      <c r="D598" t="n">
        <v>15</v>
      </c>
      <c r="E598" t="inlineStr">
        <is>
          <t>H0043</t>
        </is>
      </c>
      <c r="F598" t="inlineStr">
        <is>
          <t>桃園市八德區新生路300號旁工地</t>
        </is>
      </c>
      <c r="G598" t="n">
        <v>24.927298</v>
      </c>
      <c r="H598" t="n">
        <v>121.25945</v>
      </c>
      <c r="I598" t="n">
        <v>8</v>
      </c>
      <c r="J598" t="n">
        <v>3</v>
      </c>
      <c r="K598" t="n">
        <v>243</v>
      </c>
      <c r="L598" t="inlineStr">
        <is>
          <t>Primary</t>
        </is>
      </c>
    </row>
    <row r="599">
      <c r="A599" t="n">
        <v>1</v>
      </c>
      <c r="B599" s="25" t="inlineStr">
        <is>
          <t>S05</t>
        </is>
      </c>
      <c r="C599" t="inlineStr">
        <is>
          <t>PZ-B</t>
        </is>
      </c>
      <c r="D599" t="n">
        <v>16</v>
      </c>
      <c r="E599" t="inlineStr">
        <is>
          <t>H0542</t>
        </is>
      </c>
      <c r="F599" t="inlineStr">
        <is>
          <t>桃園市平鎮區龍江路66號對面</t>
        </is>
      </c>
      <c r="G599" t="n">
        <v>24.930411</v>
      </c>
      <c r="H599" t="n">
        <v>121.258111</v>
      </c>
      <c r="I599" t="n">
        <v>24</v>
      </c>
      <c r="J599" t="n">
        <v>3</v>
      </c>
      <c r="K599" t="n">
        <v>270</v>
      </c>
      <c r="L599" t="inlineStr">
        <is>
          <t>Primary</t>
        </is>
      </c>
    </row>
    <row r="600">
      <c r="A600" t="n">
        <v>1</v>
      </c>
      <c r="B600" s="25" t="inlineStr">
        <is>
          <t>S05</t>
        </is>
      </c>
      <c r="C600" t="inlineStr">
        <is>
          <t>PZ-B</t>
        </is>
      </c>
      <c r="D600" t="n">
        <v>17</v>
      </c>
      <c r="E600" t="inlineStr">
        <is>
          <t>H0493</t>
        </is>
      </c>
      <c r="F600" t="inlineStr">
        <is>
          <t>桃園市平鎮區平東路68巷17弄1號旁</t>
        </is>
      </c>
      <c r="G600" t="n">
        <v>24.918659</v>
      </c>
      <c r="H600" t="n">
        <v>121.252014</v>
      </c>
      <c r="I600" t="n">
        <v>8</v>
      </c>
      <c r="J600" t="n">
        <v>3.5</v>
      </c>
      <c r="K600" t="n">
        <v>281.5</v>
      </c>
      <c r="L600" t="inlineStr">
        <is>
          <t>Primary</t>
        </is>
      </c>
    </row>
    <row r="601">
      <c r="A601" t="n">
        <v>1</v>
      </c>
      <c r="B601" s="25" t="inlineStr">
        <is>
          <t>S05</t>
        </is>
      </c>
      <c r="C601" t="inlineStr">
        <is>
          <t>PZ-B</t>
        </is>
      </c>
      <c r="D601" t="n">
        <v>18</v>
      </c>
      <c r="E601" t="inlineStr">
        <is>
          <t>H0543</t>
        </is>
      </c>
      <c r="F601" t="inlineStr">
        <is>
          <t>桃園市平鎮區龍南路688號</t>
        </is>
      </c>
      <c r="G601" t="n">
        <v>24.915361</v>
      </c>
      <c r="H601" t="n">
        <v>121.255592</v>
      </c>
      <c r="I601" t="n">
        <v>8</v>
      </c>
      <c r="J601" t="n">
        <v>3</v>
      </c>
      <c r="K601" t="n">
        <v>292.5</v>
      </c>
      <c r="L601" t="inlineStr">
        <is>
          <t>Primary</t>
        </is>
      </c>
    </row>
    <row r="602">
      <c r="A602" t="n">
        <v>1</v>
      </c>
      <c r="B602" s="25" t="inlineStr">
        <is>
          <t>S05</t>
        </is>
      </c>
      <c r="C602" t="inlineStr">
        <is>
          <t>PZ-B</t>
        </is>
      </c>
      <c r="D602" t="n">
        <v>19</v>
      </c>
      <c r="E602" t="inlineStr">
        <is>
          <t>H0305</t>
        </is>
      </c>
      <c r="F602" t="inlineStr">
        <is>
          <t>桃園市大溪區埔頂路１段357巷250-2號旁工地</t>
        </is>
      </c>
      <c r="G602" t="n">
        <v>24.909828</v>
      </c>
      <c r="H602" t="n">
        <v>121.274795</v>
      </c>
      <c r="I602" t="n">
        <v>8</v>
      </c>
      <c r="J602" t="n">
        <v>4.9</v>
      </c>
      <c r="K602" t="n">
        <v>305.3</v>
      </c>
      <c r="L602" t="inlineStr">
        <is>
          <t>Primary</t>
        </is>
      </c>
    </row>
    <row r="603">
      <c r="A603" t="n">
        <v>1</v>
      </c>
      <c r="B603" s="25" t="inlineStr">
        <is>
          <t>S05</t>
        </is>
      </c>
      <c r="C603" t="inlineStr">
        <is>
          <t>PZ-B</t>
        </is>
      </c>
      <c r="D603" t="n">
        <v>20</v>
      </c>
      <c r="E603" t="inlineStr">
        <is>
          <t>H0308</t>
        </is>
      </c>
      <c r="F603" t="inlineStr">
        <is>
          <t>桃園市大溪區埔頂路二段109號對面子母車旁</t>
        </is>
      </c>
      <c r="G603" t="n">
        <v>24.908736</v>
      </c>
      <c r="H603" t="n">
        <v>121.277828</v>
      </c>
      <c r="I603" t="n">
        <v>8</v>
      </c>
      <c r="J603" t="n">
        <v>3</v>
      </c>
      <c r="K603" t="n">
        <v>316.3</v>
      </c>
      <c r="L603" t="inlineStr">
        <is>
          <t>Primary</t>
        </is>
      </c>
    </row>
    <row r="604">
      <c r="A604" t="n">
        <v>1</v>
      </c>
      <c r="B604" s="25" t="inlineStr">
        <is>
          <t>S05</t>
        </is>
      </c>
      <c r="C604" t="inlineStr">
        <is>
          <t>PZ-B</t>
        </is>
      </c>
      <c r="D604" t="n">
        <v>21</v>
      </c>
      <c r="E604" t="inlineStr">
        <is>
          <t>H0307</t>
        </is>
      </c>
      <c r="F604" t="inlineStr">
        <is>
          <t>桃園市大溪區埔頂路二段109號</t>
        </is>
      </c>
      <c r="G604" t="n">
        <v>24.908608</v>
      </c>
      <c r="H604" t="n">
        <v>121.278217</v>
      </c>
      <c r="I604" t="n">
        <v>8</v>
      </c>
      <c r="J604" t="n">
        <v>2</v>
      </c>
      <c r="K604" t="n">
        <v>326.3</v>
      </c>
      <c r="L604" t="inlineStr">
        <is>
          <t>Primary</t>
        </is>
      </c>
    </row>
    <row r="605">
      <c r="A605" t="n">
        <v>1</v>
      </c>
      <c r="B605" s="25" t="inlineStr">
        <is>
          <t>S05</t>
        </is>
      </c>
      <c r="C605" t="inlineStr">
        <is>
          <t>PZ-B</t>
        </is>
      </c>
      <c r="D605" t="n">
        <v>22</v>
      </c>
      <c r="E605" t="inlineStr">
        <is>
          <t>H0303</t>
        </is>
      </c>
      <c r="F605" t="inlineStr">
        <is>
          <t>桃園市大溪區埔仁路518號旁工地</t>
        </is>
      </c>
      <c r="G605" t="n">
        <v>24.906861</v>
      </c>
      <c r="H605" t="n">
        <v>121.282506</v>
      </c>
      <c r="I605" t="n">
        <v>8</v>
      </c>
      <c r="J605" t="n">
        <v>3</v>
      </c>
      <c r="K605" t="n">
        <v>337.3</v>
      </c>
      <c r="L605" t="inlineStr">
        <is>
          <t>Primary</t>
        </is>
      </c>
    </row>
    <row r="606">
      <c r="A606" t="n">
        <v>1</v>
      </c>
      <c r="B606" s="25" t="inlineStr">
        <is>
          <t>S05</t>
        </is>
      </c>
      <c r="C606" t="inlineStr">
        <is>
          <t>PZ-B</t>
        </is>
      </c>
      <c r="D606" t="n">
        <v>23</v>
      </c>
      <c r="E606" t="inlineStr">
        <is>
          <t>H0304</t>
        </is>
      </c>
      <c r="F606" t="inlineStr">
        <is>
          <t>桃園市大溪區埔頂七街78號旁</t>
        </is>
      </c>
      <c r="G606" t="n">
        <v>24.903644</v>
      </c>
      <c r="H606" t="n">
        <v>121.28142</v>
      </c>
      <c r="I606" t="n">
        <v>8</v>
      </c>
      <c r="J606" t="n">
        <v>3</v>
      </c>
      <c r="K606" t="n">
        <v>348.3</v>
      </c>
      <c r="L606" t="inlineStr">
        <is>
          <t>Primary</t>
        </is>
      </c>
    </row>
    <row r="607">
      <c r="A607" t="n">
        <v>1</v>
      </c>
      <c r="B607" s="25" t="inlineStr">
        <is>
          <t>S05</t>
        </is>
      </c>
      <c r="C607" t="inlineStr">
        <is>
          <t>PZ-B</t>
        </is>
      </c>
      <c r="D607" t="n">
        <v>24</v>
      </c>
      <c r="E607" t="inlineStr">
        <is>
          <t>H0317</t>
        </is>
      </c>
      <c r="F607" t="inlineStr">
        <is>
          <t>桃園市大溪區慈光一街&amp;埔頂七街交叉口-太武安居社會住宅</t>
        </is>
      </c>
      <c r="G607" t="n">
        <v>24.903569</v>
      </c>
      <c r="H607" t="n">
        <v>121.281736</v>
      </c>
      <c r="I607" t="n">
        <v>8</v>
      </c>
      <c r="J607" t="n">
        <v>2</v>
      </c>
      <c r="K607" t="n">
        <v>358.3</v>
      </c>
      <c r="L607" t="inlineStr">
        <is>
          <t>Primary</t>
        </is>
      </c>
    </row>
    <row r="608">
      <c r="A608" t="n">
        <v>1</v>
      </c>
      <c r="B608" s="25" t="inlineStr">
        <is>
          <t>S05</t>
        </is>
      </c>
      <c r="C608" t="inlineStr">
        <is>
          <t>PZ-B</t>
        </is>
      </c>
      <c r="D608" t="n">
        <v>25</v>
      </c>
      <c r="E608" t="inlineStr">
        <is>
          <t>H0316</t>
        </is>
      </c>
      <c r="F608" t="inlineStr">
        <is>
          <t>桃園市大溪區慈光一街&amp;埔頂七街交叉口</t>
        </is>
      </c>
      <c r="G608" t="n">
        <v>24.903278</v>
      </c>
      <c r="H608" t="n">
        <v>121.282098</v>
      </c>
      <c r="I608" t="n">
        <v>8</v>
      </c>
      <c r="J608" t="n">
        <v>2</v>
      </c>
      <c r="K608" t="n">
        <v>368.3</v>
      </c>
      <c r="L608" t="inlineStr">
        <is>
          <t>Primary</t>
        </is>
      </c>
    </row>
    <row r="609">
      <c r="A609" t="n">
        <v>1</v>
      </c>
      <c r="B609" s="25" t="inlineStr">
        <is>
          <t>S05</t>
        </is>
      </c>
      <c r="C609" t="inlineStr">
        <is>
          <t>PZ-B</t>
        </is>
      </c>
      <c r="D609" t="n">
        <v>26</v>
      </c>
      <c r="E609" t="inlineStr">
        <is>
          <t>H0293</t>
        </is>
      </c>
      <c r="F609" t="inlineStr">
        <is>
          <t>桃園市大溪區忠泰街6巷</t>
        </is>
      </c>
      <c r="G609" t="n">
        <v>24.902758</v>
      </c>
      <c r="H609" t="n">
        <v>121.283561</v>
      </c>
      <c r="I609" t="n">
        <v>16</v>
      </c>
      <c r="J609" t="n">
        <v>3</v>
      </c>
      <c r="K609" t="n">
        <v>387.3</v>
      </c>
      <c r="L609" t="inlineStr">
        <is>
          <t>Primary</t>
        </is>
      </c>
    </row>
    <row r="610">
      <c r="A610" t="n">
        <v>1</v>
      </c>
      <c r="B610" s="25" t="inlineStr">
        <is>
          <t>S05</t>
        </is>
      </c>
      <c r="C610" t="inlineStr">
        <is>
          <t>PZ-B</t>
        </is>
      </c>
      <c r="D610" t="n">
        <v>27</v>
      </c>
      <c r="E610" t="inlineStr">
        <is>
          <t>H0298</t>
        </is>
      </c>
      <c r="F610" t="inlineStr">
        <is>
          <t>桃園市大溪區員林路一段129號斜對面工地</t>
        </is>
      </c>
      <c r="G610" t="n">
        <v>24.898533</v>
      </c>
      <c r="H610" t="n">
        <v>121.2792825</v>
      </c>
      <c r="I610" t="n">
        <v>16</v>
      </c>
      <c r="J610" t="n">
        <v>3</v>
      </c>
      <c r="K610" t="n">
        <v>406.3</v>
      </c>
      <c r="L610" t="inlineStr">
        <is>
          <t>Primary</t>
        </is>
      </c>
    </row>
    <row r="611">
      <c r="A611" t="n">
        <v>1</v>
      </c>
      <c r="B611" s="25" t="inlineStr">
        <is>
          <t>S05</t>
        </is>
      </c>
      <c r="C611" t="inlineStr">
        <is>
          <t>PZ-B</t>
        </is>
      </c>
      <c r="D611" t="n">
        <v>28</v>
      </c>
      <c r="E611" t="inlineStr">
        <is>
          <t>H0283</t>
        </is>
      </c>
      <c r="F611" t="inlineStr">
        <is>
          <t>桃園市大溪區仁和路1段12號-埔頂營區</t>
        </is>
      </c>
      <c r="G611" t="n">
        <v>24.898889</v>
      </c>
      <c r="H611" t="n">
        <v>121.277853</v>
      </c>
      <c r="I611" t="n">
        <v>8</v>
      </c>
      <c r="J611" t="n">
        <v>3</v>
      </c>
      <c r="K611" t="n">
        <v>417.3</v>
      </c>
      <c r="L611" t="inlineStr">
        <is>
          <t>Primary</t>
        </is>
      </c>
    </row>
    <row r="612">
      <c r="A612" t="n">
        <v>1</v>
      </c>
      <c r="B612" s="25" t="inlineStr">
        <is>
          <t>S05</t>
        </is>
      </c>
      <c r="C612" t="inlineStr">
        <is>
          <t>PZ-B</t>
        </is>
      </c>
      <c r="D612" t="n">
        <v>29</v>
      </c>
      <c r="E612" t="inlineStr">
        <is>
          <t>H0282</t>
        </is>
      </c>
      <c r="F612" t="inlineStr">
        <is>
          <t>桃園市大溪區仁和二街146號</t>
        </is>
      </c>
      <c r="G612" t="n">
        <v>24.896355</v>
      </c>
      <c r="H612" t="n">
        <v>121.279195</v>
      </c>
      <c r="I612" t="n">
        <v>8</v>
      </c>
      <c r="J612" t="n">
        <v>3</v>
      </c>
      <c r="K612" t="n">
        <v>428.3</v>
      </c>
      <c r="L612" t="inlineStr">
        <is>
          <t>Primary</t>
        </is>
      </c>
    </row>
    <row r="613">
      <c r="A613" t="n">
        <v>1</v>
      </c>
      <c r="B613" s="25" t="inlineStr">
        <is>
          <t>S05</t>
        </is>
      </c>
      <c r="C613" t="inlineStr">
        <is>
          <t>PZ-B</t>
        </is>
      </c>
      <c r="D613" t="n">
        <v>30</v>
      </c>
      <c r="E613" t="inlineStr">
        <is>
          <t>H0280</t>
        </is>
      </c>
      <c r="F613" t="inlineStr">
        <is>
          <t>桃園市大溪區士香街172號對面</t>
        </is>
      </c>
      <c r="G613" t="n">
        <v>24.89708</v>
      </c>
      <c r="H613" t="n">
        <v>121.274431</v>
      </c>
      <c r="I613" t="n">
        <v>8</v>
      </c>
      <c r="J613" t="n">
        <v>3</v>
      </c>
      <c r="K613" t="n">
        <v>439.3</v>
      </c>
      <c r="L613" t="inlineStr">
        <is>
          <t>Primary</t>
        </is>
      </c>
    </row>
    <row r="614">
      <c r="A614" t="n">
        <v>1</v>
      </c>
      <c r="B614" s="25" t="inlineStr">
        <is>
          <t>S05</t>
        </is>
      </c>
      <c r="C614" t="inlineStr">
        <is>
          <t>PZ-B</t>
        </is>
      </c>
      <c r="D614" t="n">
        <v>31</v>
      </c>
      <c r="E614" t="inlineStr">
        <is>
          <t>H0279</t>
        </is>
      </c>
      <c r="F614" t="inlineStr">
        <is>
          <t>桃園市大溪區士香街129號旁</t>
        </is>
      </c>
      <c r="G614" t="n">
        <v>24.897366</v>
      </c>
      <c r="H614" t="n">
        <v>121.274386</v>
      </c>
      <c r="I614" t="n">
        <v>8</v>
      </c>
      <c r="J614" t="n">
        <v>2</v>
      </c>
      <c r="K614" t="n">
        <v>449.3</v>
      </c>
      <c r="L614" t="inlineStr">
        <is>
          <t>Primary</t>
        </is>
      </c>
    </row>
    <row r="615">
      <c r="A615" t="n">
        <v>1</v>
      </c>
      <c r="B615" s="25" t="inlineStr">
        <is>
          <t>S05</t>
        </is>
      </c>
      <c r="C615" t="inlineStr">
        <is>
          <t>PZ-B</t>
        </is>
      </c>
      <c r="D615" t="n">
        <v>32</v>
      </c>
      <c r="E615" t="inlineStr">
        <is>
          <t>H0315</t>
        </is>
      </c>
      <c r="F615" t="inlineStr">
        <is>
          <t>桃園市大溪區隆德街42號(旁轉角基地)</t>
        </is>
      </c>
      <c r="G615" t="n">
        <v>24.900478</v>
      </c>
      <c r="H615" t="n">
        <v>121.275131</v>
      </c>
      <c r="I615" t="n">
        <v>8</v>
      </c>
      <c r="J615" t="n">
        <v>3</v>
      </c>
      <c r="K615" t="n">
        <v>460.3</v>
      </c>
      <c r="L615" t="inlineStr">
        <is>
          <t>Primary</t>
        </is>
      </c>
    </row>
    <row r="616">
      <c r="A616" t="n">
        <v>1</v>
      </c>
      <c r="B616" s="25" t="inlineStr">
        <is>
          <t>S05</t>
        </is>
      </c>
      <c r="C616" t="inlineStr">
        <is>
          <t>PZ-B</t>
        </is>
      </c>
      <c r="D616" t="n">
        <v>33</v>
      </c>
      <c r="E616" t="inlineStr">
        <is>
          <t>H0299</t>
        </is>
      </c>
      <c r="F616" t="inlineStr">
        <is>
          <t>桃園市大溪區員林路一段435號24°53'33.1"N121°16'27.3"E</t>
        </is>
      </c>
      <c r="G616" t="n">
        <v>24.892572</v>
      </c>
      <c r="H616" t="n">
        <v>121.274245</v>
      </c>
      <c r="I616" t="n">
        <v>8</v>
      </c>
      <c r="J616" t="n">
        <v>3</v>
      </c>
      <c r="K616" t="n">
        <v>471.3</v>
      </c>
      <c r="L616" t="inlineStr">
        <is>
          <t>Primary</t>
        </is>
      </c>
    </row>
    <row r="617">
      <c r="A617" t="n">
        <v>1</v>
      </c>
      <c r="B617" s="25" t="inlineStr">
        <is>
          <t>S05</t>
        </is>
      </c>
      <c r="C617" t="inlineStr">
        <is>
          <t>PZ-B</t>
        </is>
      </c>
      <c r="D617" t="n">
        <v>34</v>
      </c>
      <c r="E617" t="inlineStr">
        <is>
          <t>H0300</t>
        </is>
      </c>
      <c r="F617" t="inlineStr">
        <is>
          <t>桃園市大溪區員林路二段173巷</t>
        </is>
      </c>
      <c r="G617" t="n">
        <v>24.888241</v>
      </c>
      <c r="H617" t="n">
        <v>121.270281</v>
      </c>
      <c r="I617" t="n">
        <v>8</v>
      </c>
      <c r="J617" t="n">
        <v>3</v>
      </c>
      <c r="K617" t="n">
        <v>482.3</v>
      </c>
      <c r="L617" t="inlineStr">
        <is>
          <t>Primary</t>
        </is>
      </c>
    </row>
    <row r="618">
      <c r="A618" t="n">
        <v>1</v>
      </c>
      <c r="B618" s="25" t="inlineStr">
        <is>
          <t>S05</t>
        </is>
      </c>
      <c r="C618" t="inlineStr">
        <is>
          <t>PZ-B</t>
        </is>
      </c>
      <c r="D618" t="n">
        <v>35</v>
      </c>
      <c r="E618" t="inlineStr">
        <is>
          <t>H0301</t>
        </is>
      </c>
      <c r="F618" t="inlineStr">
        <is>
          <t>桃園市大溪區員林路二段230巷12弄23號旁</t>
        </is>
      </c>
      <c r="G618" t="n">
        <v>24.886962</v>
      </c>
      <c r="H618" t="n">
        <v>121.2691975</v>
      </c>
      <c r="I618" t="n">
        <v>32</v>
      </c>
      <c r="J618" t="n">
        <v>3</v>
      </c>
      <c r="K618" t="n">
        <v>517.3</v>
      </c>
      <c r="L618" t="inlineStr">
        <is>
          <t>Primary</t>
        </is>
      </c>
    </row>
    <row r="619">
      <c r="A619" t="n">
        <v>1</v>
      </c>
      <c r="B619" s="25" t="inlineStr">
        <is>
          <t>S05</t>
        </is>
      </c>
      <c r="C619" t="inlineStr">
        <is>
          <t>PZ-B</t>
        </is>
      </c>
      <c r="D619" t="n">
        <v>36</v>
      </c>
      <c r="E619" t="inlineStr">
        <is>
          <t>H0322</t>
        </is>
      </c>
      <c r="F619" t="inlineStr">
        <is>
          <t>桃園市大溪區興昌路二段210巷120號</t>
        </is>
      </c>
      <c r="G619" t="n">
        <v>24.893402</v>
      </c>
      <c r="H619" t="n">
        <v>121.255078</v>
      </c>
      <c r="I619" t="n">
        <v>8</v>
      </c>
      <c r="J619" t="n">
        <v>3.8</v>
      </c>
      <c r="K619" t="n">
        <v>529.2</v>
      </c>
      <c r="L619" t="inlineStr">
        <is>
          <t>Primary</t>
        </is>
      </c>
    </row>
    <row r="620">
      <c r="A620" t="n">
        <v>2</v>
      </c>
      <c r="B620" s="25" t="inlineStr">
        <is>
          <t>S05</t>
        </is>
      </c>
      <c r="C620" t="inlineStr">
        <is>
          <t>PZ-B</t>
        </is>
      </c>
      <c r="D620" t="n">
        <v>1</v>
      </c>
      <c r="E620" t="inlineStr">
        <is>
          <t>H0508</t>
        </is>
      </c>
      <c r="F620" t="inlineStr">
        <is>
          <t>桃園市平鎮區金龍路271號</t>
        </is>
      </c>
      <c r="G620" t="n">
        <v>24.89526466666667</v>
      </c>
      <c r="H620" t="n">
        <v>121.2311783333333</v>
      </c>
      <c r="I620" t="n">
        <v>24</v>
      </c>
      <c r="J620" t="n">
        <v>3.3</v>
      </c>
      <c r="K620" t="n">
        <v>27.3</v>
      </c>
      <c r="L620" t="inlineStr">
        <is>
          <t>Primary</t>
        </is>
      </c>
    </row>
    <row r="621">
      <c r="A621" t="n">
        <v>2</v>
      </c>
      <c r="B621" s="25" t="inlineStr">
        <is>
          <t>S05</t>
        </is>
      </c>
      <c r="C621" t="inlineStr">
        <is>
          <t>PZ-B</t>
        </is>
      </c>
      <c r="D621" t="n">
        <v>2</v>
      </c>
      <c r="E621" t="inlineStr">
        <is>
          <t>H0510</t>
        </is>
      </c>
      <c r="F621" t="inlineStr">
        <is>
          <t>桃園市平鎮區金龍路491巷54號</t>
        </is>
      </c>
      <c r="G621" t="n">
        <v>24.890386</v>
      </c>
      <c r="H621" t="n">
        <v>121.232853</v>
      </c>
      <c r="I621" t="n">
        <v>16</v>
      </c>
      <c r="J621" t="n">
        <v>3</v>
      </c>
      <c r="K621" t="n">
        <v>46.3</v>
      </c>
      <c r="L621" t="inlineStr">
        <is>
          <t>Primary</t>
        </is>
      </c>
    </row>
    <row r="622">
      <c r="A622" t="n">
        <v>2</v>
      </c>
      <c r="B622" s="25" t="inlineStr">
        <is>
          <t>S05</t>
        </is>
      </c>
      <c r="C622" t="inlineStr">
        <is>
          <t>PZ-B</t>
        </is>
      </c>
      <c r="D622" t="n">
        <v>3</v>
      </c>
      <c r="E622" t="inlineStr">
        <is>
          <t>H0825</t>
        </is>
      </c>
      <c r="F622" t="inlineStr">
        <is>
          <t>桃園市龍潭區龍平路105之2號(1065巷口)</t>
        </is>
      </c>
      <c r="G622" t="n">
        <v>24.884055</v>
      </c>
      <c r="H622" t="n">
        <v>121.238141</v>
      </c>
      <c r="I622" t="n">
        <v>8</v>
      </c>
      <c r="J622" t="n">
        <v>3</v>
      </c>
      <c r="K622" t="n">
        <v>57.3</v>
      </c>
      <c r="L622" t="inlineStr">
        <is>
          <t>Primary</t>
        </is>
      </c>
    </row>
    <row r="623">
      <c r="A623" t="n">
        <v>2</v>
      </c>
      <c r="B623" s="25" t="inlineStr">
        <is>
          <t>S05</t>
        </is>
      </c>
      <c r="C623" t="inlineStr">
        <is>
          <t>PZ-B</t>
        </is>
      </c>
      <c r="D623" t="n">
        <v>4</v>
      </c>
      <c r="E623" t="inlineStr">
        <is>
          <t>H0790</t>
        </is>
      </c>
      <c r="F623" t="inlineStr">
        <is>
          <t>桃園市龍潭區中興路240巷7弄14號</t>
        </is>
      </c>
      <c r="G623" t="n">
        <v>24.875442</v>
      </c>
      <c r="H623" t="n">
        <v>121.233564</v>
      </c>
      <c r="I623" t="n">
        <v>8</v>
      </c>
      <c r="J623" t="n">
        <v>3</v>
      </c>
      <c r="K623" t="n">
        <v>68.3</v>
      </c>
      <c r="L623" t="inlineStr">
        <is>
          <t>Primary</t>
        </is>
      </c>
    </row>
    <row r="624">
      <c r="A624" t="n">
        <v>2</v>
      </c>
      <c r="B624" s="25" t="inlineStr">
        <is>
          <t>S05</t>
        </is>
      </c>
      <c r="C624" t="inlineStr">
        <is>
          <t>PZ-B</t>
        </is>
      </c>
      <c r="D624" t="n">
        <v>5</v>
      </c>
      <c r="E624" t="inlineStr">
        <is>
          <t>H0808</t>
        </is>
      </c>
      <c r="F624" t="inlineStr">
        <is>
          <t>桃園市龍潭區武漢路85巷(石園三村)-附座標</t>
        </is>
      </c>
      <c r="G624" t="n">
        <v>24.870859</v>
      </c>
      <c r="H624" t="n">
        <v>121.235019</v>
      </c>
      <c r="I624" t="n">
        <v>8</v>
      </c>
      <c r="J624" t="n">
        <v>3</v>
      </c>
      <c r="K624" t="n">
        <v>79.3</v>
      </c>
      <c r="L624" t="inlineStr">
        <is>
          <t>Primary</t>
        </is>
      </c>
    </row>
    <row r="625">
      <c r="A625" t="n">
        <v>2</v>
      </c>
      <c r="B625" s="25" t="inlineStr">
        <is>
          <t>S05</t>
        </is>
      </c>
      <c r="C625" t="inlineStr">
        <is>
          <t>PZ-B</t>
        </is>
      </c>
      <c r="D625" t="n">
        <v>6</v>
      </c>
      <c r="E625" t="inlineStr">
        <is>
          <t>H0787</t>
        </is>
      </c>
      <c r="F625" t="inlineStr">
        <is>
          <t>桃園市龍潭區中正路三段239巷-龍潭體育園區棒壘球場-附圖</t>
        </is>
      </c>
      <c r="G625" t="n">
        <v>24.855794</v>
      </c>
      <c r="H625" t="n">
        <v>121.232567</v>
      </c>
      <c r="I625" t="n">
        <v>32</v>
      </c>
      <c r="J625" t="n">
        <v>4.1</v>
      </c>
      <c r="K625" t="n">
        <v>115.3</v>
      </c>
      <c r="L625" t="inlineStr">
        <is>
          <t>Primary</t>
        </is>
      </c>
    </row>
    <row r="626">
      <c r="A626" t="n">
        <v>2</v>
      </c>
      <c r="B626" s="25" t="inlineStr">
        <is>
          <t>S05</t>
        </is>
      </c>
      <c r="C626" t="inlineStr">
        <is>
          <t>PZ-B</t>
        </is>
      </c>
      <c r="D626" t="n">
        <v>7</v>
      </c>
      <c r="E626" t="inlineStr">
        <is>
          <t>H0787</t>
        </is>
      </c>
      <c r="F626" t="inlineStr">
        <is>
          <t>桃園市龍潭區中正路三段239巷-龍潭體育園區棒壘球場-附圖</t>
        </is>
      </c>
      <c r="G626" t="n">
        <v>24.8546509</v>
      </c>
      <c r="H626" t="n">
        <v>121.2322267</v>
      </c>
      <c r="I626" t="n">
        <v>32</v>
      </c>
      <c r="J626" t="n">
        <v>3</v>
      </c>
      <c r="K626" t="n">
        <v>150.3</v>
      </c>
      <c r="L626" t="inlineStr">
        <is>
          <t>Primary</t>
        </is>
      </c>
    </row>
    <row r="627">
      <c r="A627" t="n">
        <v>2</v>
      </c>
      <c r="B627" s="25" t="inlineStr">
        <is>
          <t>S05</t>
        </is>
      </c>
      <c r="C627" t="inlineStr">
        <is>
          <t>PZ-B</t>
        </is>
      </c>
      <c r="D627" t="n">
        <v>8</v>
      </c>
      <c r="E627" t="inlineStr">
        <is>
          <t>H0786</t>
        </is>
      </c>
      <c r="F627" t="inlineStr">
        <is>
          <t>桃園市龍潭區中正路三林段118號旁工地</t>
        </is>
      </c>
      <c r="G627" t="n">
        <v>24.851022</v>
      </c>
      <c r="H627" t="n">
        <v>121.226986</v>
      </c>
      <c r="I627" t="n">
        <v>8</v>
      </c>
      <c r="J627" t="n">
        <v>3</v>
      </c>
      <c r="K627" t="n">
        <v>161.3</v>
      </c>
      <c r="L627" t="inlineStr">
        <is>
          <t>Primary</t>
        </is>
      </c>
    </row>
    <row r="628">
      <c r="A628" t="n">
        <v>2</v>
      </c>
      <c r="B628" s="25" t="inlineStr">
        <is>
          <t>S05</t>
        </is>
      </c>
      <c r="C628" t="inlineStr">
        <is>
          <t>PZ-B</t>
        </is>
      </c>
      <c r="D628" t="n">
        <v>9</v>
      </c>
      <c r="E628" t="inlineStr">
        <is>
          <t>H0826</t>
        </is>
      </c>
      <c r="F628" t="inlineStr">
        <is>
          <t>桃園市龍潭區龍吟街23巷2號</t>
        </is>
      </c>
      <c r="G628" t="n">
        <v>24.850158</v>
      </c>
      <c r="H628" t="n">
        <v>121.227306</v>
      </c>
      <c r="I628" t="n">
        <v>8</v>
      </c>
      <c r="J628" t="n">
        <v>3</v>
      </c>
      <c r="K628" t="n">
        <v>172.3</v>
      </c>
      <c r="L628" t="inlineStr">
        <is>
          <t>Primary</t>
        </is>
      </c>
    </row>
    <row r="629">
      <c r="A629" t="n">
        <v>2</v>
      </c>
      <c r="B629" s="25" t="inlineStr">
        <is>
          <t>S05</t>
        </is>
      </c>
      <c r="C629" t="inlineStr">
        <is>
          <t>PZ-B</t>
        </is>
      </c>
      <c r="D629" t="n">
        <v>10</v>
      </c>
      <c r="E629" t="inlineStr">
        <is>
          <t>H0785</t>
        </is>
      </c>
      <c r="F629" t="inlineStr">
        <is>
          <t>桃園市龍潭區大昌路二段518之1號-對面工地</t>
        </is>
      </c>
      <c r="G629" t="n">
        <v>24.857389</v>
      </c>
      <c r="H629" t="n">
        <v>121.221611</v>
      </c>
      <c r="I629" t="n">
        <v>16</v>
      </c>
      <c r="J629" t="n">
        <v>3</v>
      </c>
      <c r="K629" t="n">
        <v>191.3</v>
      </c>
      <c r="L629" t="inlineStr">
        <is>
          <t>Primary</t>
        </is>
      </c>
    </row>
    <row r="630">
      <c r="A630" t="n">
        <v>2</v>
      </c>
      <c r="B630" s="25" t="inlineStr">
        <is>
          <t>S05</t>
        </is>
      </c>
      <c r="C630" t="inlineStr">
        <is>
          <t>PZ-B</t>
        </is>
      </c>
      <c r="D630" t="n">
        <v>11</v>
      </c>
      <c r="E630" t="inlineStr">
        <is>
          <t>H0827</t>
        </is>
      </c>
      <c r="F630" t="inlineStr">
        <is>
          <t>桃園市龍潭區龍華路310號</t>
        </is>
      </c>
      <c r="G630" t="n">
        <v>24.859558</v>
      </c>
      <c r="H630" t="n">
        <v>121.217781</v>
      </c>
      <c r="I630" t="n">
        <v>8</v>
      </c>
      <c r="J630" t="n">
        <v>3</v>
      </c>
      <c r="K630" t="n">
        <v>202.3</v>
      </c>
      <c r="L630" t="inlineStr">
        <is>
          <t>Primary</t>
        </is>
      </c>
    </row>
    <row r="631">
      <c r="A631" t="n">
        <v>2</v>
      </c>
      <c r="B631" s="25" t="inlineStr">
        <is>
          <t>S05</t>
        </is>
      </c>
      <c r="C631" t="inlineStr">
        <is>
          <t>PZ-B</t>
        </is>
      </c>
      <c r="D631" t="n">
        <v>12</v>
      </c>
      <c r="E631" t="inlineStr">
        <is>
          <t>H0807</t>
        </is>
      </c>
      <c r="F631" t="inlineStr">
        <is>
          <t>桃園市龍潭區東龍路42巷底</t>
        </is>
      </c>
      <c r="G631" t="n">
        <v>24.859347</v>
      </c>
      <c r="H631" t="n">
        <v>121.216861</v>
      </c>
      <c r="I631" t="n">
        <v>8</v>
      </c>
      <c r="J631" t="n">
        <v>2</v>
      </c>
      <c r="K631" t="n">
        <v>212.3</v>
      </c>
      <c r="L631" t="inlineStr">
        <is>
          <t>Primary</t>
        </is>
      </c>
    </row>
    <row r="632">
      <c r="A632" t="n">
        <v>2</v>
      </c>
      <c r="B632" s="25" t="inlineStr">
        <is>
          <t>S05</t>
        </is>
      </c>
      <c r="C632" t="inlineStr">
        <is>
          <t>PZ-B</t>
        </is>
      </c>
      <c r="D632" t="n">
        <v>13</v>
      </c>
      <c r="E632" t="inlineStr">
        <is>
          <t>H0828</t>
        </is>
      </c>
      <c r="F632" t="inlineStr">
        <is>
          <t>桃園市龍潭區龍華路526巷29號</t>
        </is>
      </c>
      <c r="G632" t="n">
        <v>24.854717</v>
      </c>
      <c r="H632" t="n">
        <v>121.21715</v>
      </c>
      <c r="I632" t="n">
        <v>8</v>
      </c>
      <c r="J632" t="n">
        <v>3</v>
      </c>
      <c r="K632" t="n">
        <v>223.3</v>
      </c>
      <c r="L632" t="inlineStr">
        <is>
          <t>Primary</t>
        </is>
      </c>
    </row>
    <row r="633">
      <c r="A633" t="n">
        <v>2</v>
      </c>
      <c r="B633" s="25" t="inlineStr">
        <is>
          <t>S05</t>
        </is>
      </c>
      <c r="C633" t="inlineStr">
        <is>
          <t>PZ-B</t>
        </is>
      </c>
      <c r="D633" t="n">
        <v>14</v>
      </c>
      <c r="E633" t="inlineStr">
        <is>
          <t>H0829</t>
        </is>
      </c>
      <c r="F633" t="inlineStr">
        <is>
          <t>桃園市龍潭區龍華路526巷98號旁</t>
        </is>
      </c>
      <c r="G633" t="n">
        <v>24.853878</v>
      </c>
      <c r="H633" t="n">
        <v>121.215203</v>
      </c>
      <c r="I633" t="n">
        <v>8</v>
      </c>
      <c r="J633" t="n">
        <v>3</v>
      </c>
      <c r="K633" t="n">
        <v>234.3</v>
      </c>
      <c r="L633" t="inlineStr">
        <is>
          <t>Primary</t>
        </is>
      </c>
    </row>
    <row r="634">
      <c r="A634" t="n">
        <v>2</v>
      </c>
      <c r="B634" s="25" t="inlineStr">
        <is>
          <t>S05</t>
        </is>
      </c>
      <c r="C634" t="inlineStr">
        <is>
          <t>PZ-B</t>
        </is>
      </c>
      <c r="D634" t="n">
        <v>15</v>
      </c>
      <c r="E634" t="inlineStr">
        <is>
          <t>H0809</t>
        </is>
      </c>
      <c r="F634" t="inlineStr">
        <is>
          <t>桃園市龍潭區金龍路170號旁</t>
        </is>
      </c>
      <c r="G634" t="n">
        <v>24.854478</v>
      </c>
      <c r="H634" t="n">
        <v>121.213478</v>
      </c>
      <c r="I634" t="n">
        <v>8</v>
      </c>
      <c r="J634" t="n">
        <v>3</v>
      </c>
      <c r="K634" t="n">
        <v>245.3</v>
      </c>
      <c r="L634" t="inlineStr">
        <is>
          <t>Primary</t>
        </is>
      </c>
    </row>
    <row r="635">
      <c r="A635" t="n">
        <v>2</v>
      </c>
      <c r="B635" s="25" t="inlineStr">
        <is>
          <t>S05</t>
        </is>
      </c>
      <c r="C635" t="inlineStr">
        <is>
          <t>PZ-B</t>
        </is>
      </c>
      <c r="D635" t="n">
        <v>16</v>
      </c>
      <c r="E635" t="inlineStr">
        <is>
          <t>H0782</t>
        </is>
      </c>
      <c r="F635" t="inlineStr">
        <is>
          <t>桃園市龍潭區(平鎮區)金龍路112巷298號後面</t>
        </is>
      </c>
      <c r="G635" t="n">
        <v>24.851456</v>
      </c>
      <c r="H635" t="n">
        <v>121.208431</v>
      </c>
      <c r="I635" t="n">
        <v>8</v>
      </c>
      <c r="J635" t="n">
        <v>3</v>
      </c>
      <c r="K635" t="n">
        <v>256.3</v>
      </c>
      <c r="L635" t="inlineStr">
        <is>
          <t>Primary</t>
        </is>
      </c>
    </row>
    <row r="636">
      <c r="A636" t="n">
        <v>2</v>
      </c>
      <c r="B636" s="25" t="inlineStr">
        <is>
          <t>S05</t>
        </is>
      </c>
      <c r="C636" t="inlineStr">
        <is>
          <t>PZ-B</t>
        </is>
      </c>
      <c r="D636" t="n">
        <v>17</v>
      </c>
      <c r="E636" t="inlineStr">
        <is>
          <t>H0820</t>
        </is>
      </c>
      <c r="F636" t="inlineStr">
        <is>
          <t>桃園市龍潭區楊銅路一段133巷39號旁</t>
        </is>
      </c>
      <c r="G636" t="n">
        <v>24.851008</v>
      </c>
      <c r="H636" t="n">
        <v>121.197408</v>
      </c>
      <c r="I636" t="n">
        <v>8</v>
      </c>
      <c r="J636" t="n">
        <v>3</v>
      </c>
      <c r="K636" t="n">
        <v>267.3</v>
      </c>
      <c r="L636" t="inlineStr">
        <is>
          <t>Primary</t>
        </is>
      </c>
    </row>
    <row r="637">
      <c r="A637" t="n">
        <v>2</v>
      </c>
      <c r="B637" s="25" t="inlineStr">
        <is>
          <t>S05</t>
        </is>
      </c>
      <c r="C637" t="inlineStr">
        <is>
          <t>PZ-B</t>
        </is>
      </c>
      <c r="D637" t="n">
        <v>18</v>
      </c>
      <c r="E637" t="inlineStr">
        <is>
          <t>H0789</t>
        </is>
      </c>
      <c r="F637" t="inlineStr">
        <is>
          <t>桃園市龍潭區中原路2段170巷附近(附圖)</t>
        </is>
      </c>
      <c r="G637" t="n">
        <v>24.8428</v>
      </c>
      <c r="H637" t="n">
        <v>121.195555</v>
      </c>
      <c r="I637" t="n">
        <v>8</v>
      </c>
      <c r="J637" t="n">
        <v>3</v>
      </c>
      <c r="K637" t="n">
        <v>278.3</v>
      </c>
      <c r="L637" t="inlineStr">
        <is>
          <t>Primary</t>
        </is>
      </c>
    </row>
    <row r="638">
      <c r="A638" t="n">
        <v>2</v>
      </c>
      <c r="B638" s="25" t="inlineStr">
        <is>
          <t>S05</t>
        </is>
      </c>
      <c r="C638" t="inlineStr">
        <is>
          <t>PZ-B</t>
        </is>
      </c>
      <c r="D638" t="n">
        <v>19</v>
      </c>
      <c r="E638" t="inlineStr">
        <is>
          <t>H0811</t>
        </is>
      </c>
      <c r="F638" t="inlineStr">
        <is>
          <t>桃園市龍潭區高原路285巷105號-檳榔攤(十字弓)</t>
        </is>
      </c>
      <c r="G638" t="n">
        <v>24.830139</v>
      </c>
      <c r="H638" t="n">
        <v>121.202419</v>
      </c>
      <c r="I638" t="n">
        <v>8</v>
      </c>
      <c r="J638" t="n">
        <v>3.8</v>
      </c>
      <c r="K638" t="n">
        <v>290.1</v>
      </c>
      <c r="L638" t="inlineStr">
        <is>
          <t>Primary</t>
        </is>
      </c>
    </row>
    <row r="639">
      <c r="A639" t="n">
        <v>2</v>
      </c>
      <c r="B639" s="25" t="inlineStr">
        <is>
          <t>S05</t>
        </is>
      </c>
      <c r="C639" t="inlineStr">
        <is>
          <t>PZ-B</t>
        </is>
      </c>
      <c r="D639" t="n">
        <v>20</v>
      </c>
      <c r="E639" t="inlineStr">
        <is>
          <t>H0831</t>
        </is>
      </c>
      <c r="F639" t="inlineStr">
        <is>
          <t>桃園市龍潭區龍源路239巷</t>
        </is>
      </c>
      <c r="G639" t="n">
        <v>24.824823</v>
      </c>
      <c r="H639" t="n">
        <v>121.212072</v>
      </c>
      <c r="I639" t="n">
        <v>8</v>
      </c>
      <c r="J639" t="n">
        <v>3</v>
      </c>
      <c r="K639" t="n">
        <v>301.1</v>
      </c>
      <c r="L639" t="inlineStr">
        <is>
          <t>Primary</t>
        </is>
      </c>
    </row>
    <row r="640">
      <c r="A640" t="n">
        <v>2</v>
      </c>
      <c r="B640" s="25" t="inlineStr">
        <is>
          <t>S05</t>
        </is>
      </c>
      <c r="C640" t="inlineStr">
        <is>
          <t>PZ-B</t>
        </is>
      </c>
      <c r="D640" t="n">
        <v>21</v>
      </c>
      <c r="E640" t="inlineStr">
        <is>
          <t>H0832</t>
        </is>
      </c>
      <c r="F640" t="inlineStr">
        <is>
          <t>桃園市龍潭區龍源路252巷122號</t>
        </is>
      </c>
      <c r="G640" t="n">
        <v>24.821331</v>
      </c>
      <c r="H640" t="n">
        <v>121.212219</v>
      </c>
      <c r="I640" t="n">
        <v>8</v>
      </c>
      <c r="J640" t="n">
        <v>3</v>
      </c>
      <c r="K640" t="n">
        <v>312.1</v>
      </c>
      <c r="L640" t="inlineStr">
        <is>
          <t>Primary</t>
        </is>
      </c>
    </row>
    <row r="641">
      <c r="A641" t="n">
        <v>2</v>
      </c>
      <c r="B641" s="25" t="inlineStr">
        <is>
          <t>S05</t>
        </is>
      </c>
      <c r="C641" t="inlineStr">
        <is>
          <t>PZ-B</t>
        </is>
      </c>
      <c r="D641" t="n">
        <v>22</v>
      </c>
      <c r="E641" t="inlineStr">
        <is>
          <t>H0817</t>
        </is>
      </c>
      <c r="F641" t="inlineStr">
        <is>
          <t>桃園市龍潭區粗坑路82巷30弄2號</t>
        </is>
      </c>
      <c r="G641" t="n">
        <v>24.815867</v>
      </c>
      <c r="H641" t="n">
        <v>121.221639</v>
      </c>
      <c r="I641" t="n">
        <v>8</v>
      </c>
      <c r="J641" t="n">
        <v>3</v>
      </c>
      <c r="K641" t="n">
        <v>323.1</v>
      </c>
      <c r="L641" t="inlineStr">
        <is>
          <t>Primary</t>
        </is>
      </c>
    </row>
    <row r="642">
      <c r="A642" t="n">
        <v>2</v>
      </c>
      <c r="B642" s="25" t="inlineStr">
        <is>
          <t>S05</t>
        </is>
      </c>
      <c r="C642" t="inlineStr">
        <is>
          <t>PZ-B</t>
        </is>
      </c>
      <c r="D642" t="n">
        <v>23</v>
      </c>
      <c r="E642" t="inlineStr">
        <is>
          <t>H0833</t>
        </is>
      </c>
      <c r="F642" t="inlineStr">
        <is>
          <t>桃園市龍潭區龍源路881號旁工地</t>
        </is>
      </c>
      <c r="G642" t="n">
        <v>24.818423</v>
      </c>
      <c r="H642" t="n">
        <v>121.225728</v>
      </c>
      <c r="I642" t="n">
        <v>8</v>
      </c>
      <c r="J642" t="n">
        <v>3</v>
      </c>
      <c r="K642" t="n">
        <v>334.1</v>
      </c>
      <c r="L642" t="inlineStr">
        <is>
          <t>Primary</t>
        </is>
      </c>
    </row>
    <row r="643">
      <c r="A643" t="n">
        <v>2</v>
      </c>
      <c r="B643" s="25" t="inlineStr">
        <is>
          <t>S05</t>
        </is>
      </c>
      <c r="C643" t="inlineStr">
        <is>
          <t>PZ-B</t>
        </is>
      </c>
      <c r="D643" t="n">
        <v>24</v>
      </c>
      <c r="E643" t="inlineStr">
        <is>
          <t>H0797</t>
        </is>
      </c>
      <c r="F643" t="inlineStr">
        <is>
          <t>桃園市龍潭區民治十八街</t>
        </is>
      </c>
      <c r="G643" t="n">
        <v>24.819692</v>
      </c>
      <c r="H643" t="n">
        <v>121.235369</v>
      </c>
      <c r="I643" t="n">
        <v>16</v>
      </c>
      <c r="J643" t="n">
        <v>3</v>
      </c>
      <c r="K643" t="n">
        <v>353.1</v>
      </c>
      <c r="L643" t="inlineStr">
        <is>
          <t>Primary</t>
        </is>
      </c>
    </row>
    <row r="644">
      <c r="A644" t="n">
        <v>2</v>
      </c>
      <c r="B644" s="25" t="inlineStr">
        <is>
          <t>S05</t>
        </is>
      </c>
      <c r="C644" t="inlineStr">
        <is>
          <t>PZ-B</t>
        </is>
      </c>
      <c r="D644" t="n">
        <v>25</v>
      </c>
      <c r="E644" t="inlineStr">
        <is>
          <t>H0798</t>
        </is>
      </c>
      <c r="F644" t="inlineStr">
        <is>
          <t>桃園市龍潭區民治十四街46號</t>
        </is>
      </c>
      <c r="G644" t="n">
        <v>24.8213615</v>
      </c>
      <c r="H644" t="n">
        <v>121.2355385</v>
      </c>
      <c r="I644" t="n">
        <v>22</v>
      </c>
      <c r="J644" t="n">
        <v>3</v>
      </c>
      <c r="K644" t="n">
        <v>378.1</v>
      </c>
      <c r="L644" t="inlineStr">
        <is>
          <t>Primary</t>
        </is>
      </c>
    </row>
    <row r="645">
      <c r="A645" t="n">
        <v>2</v>
      </c>
      <c r="B645" s="25" t="inlineStr">
        <is>
          <t>S05</t>
        </is>
      </c>
      <c r="C645" t="inlineStr">
        <is>
          <t>PZ-B</t>
        </is>
      </c>
      <c r="D645" t="n">
        <v>26</v>
      </c>
      <c r="E645" t="inlineStr">
        <is>
          <t>H0796</t>
        </is>
      </c>
      <c r="F645" t="inlineStr">
        <is>
          <t>桃園市龍潭區民治七街122號-附圖自行定位</t>
        </is>
      </c>
      <c r="G645" t="n">
        <v>24.821436</v>
      </c>
      <c r="H645" t="n">
        <v>121.238894</v>
      </c>
      <c r="I645" t="n">
        <v>8</v>
      </c>
      <c r="J645" t="n">
        <v>3</v>
      </c>
      <c r="K645" t="n">
        <v>389.1</v>
      </c>
      <c r="L645" t="inlineStr">
        <is>
          <t>Primary</t>
        </is>
      </c>
    </row>
    <row r="646">
      <c r="A646" t="n">
        <v>2</v>
      </c>
      <c r="B646" s="25" t="inlineStr">
        <is>
          <t>S05</t>
        </is>
      </c>
      <c r="C646" t="inlineStr">
        <is>
          <t>PZ-B</t>
        </is>
      </c>
      <c r="D646" t="n">
        <v>27</v>
      </c>
      <c r="E646" t="inlineStr">
        <is>
          <t>H0801</t>
        </is>
      </c>
      <c r="F646" t="inlineStr">
        <is>
          <t>桃園市龍潭區民富街89號(稻香村飯店)-電聯定位</t>
        </is>
      </c>
      <c r="G646" t="n">
        <v>24.818103</v>
      </c>
      <c r="H646" t="n">
        <v>121.239841</v>
      </c>
      <c r="I646" t="n">
        <v>8</v>
      </c>
      <c r="J646" t="n">
        <v>3</v>
      </c>
      <c r="K646" t="n">
        <v>400.1</v>
      </c>
      <c r="L646" t="inlineStr">
        <is>
          <t>Primary</t>
        </is>
      </c>
    </row>
    <row r="647">
      <c r="A647" t="n">
        <v>2</v>
      </c>
      <c r="B647" s="25" t="inlineStr">
        <is>
          <t>S05</t>
        </is>
      </c>
      <c r="C647" t="inlineStr">
        <is>
          <t>PZ-B</t>
        </is>
      </c>
      <c r="D647" t="n">
        <v>28</v>
      </c>
      <c r="E647" t="inlineStr">
        <is>
          <t>H0800</t>
        </is>
      </c>
      <c r="F647" t="inlineStr">
        <is>
          <t>桃園市龍潭區民富街(靠石門水庫-福華渡假別館)-中線收費站)</t>
        </is>
      </c>
      <c r="G647" t="n">
        <v>24.816539</v>
      </c>
      <c r="H647" t="n">
        <v>121.243447</v>
      </c>
      <c r="I647" t="n">
        <v>8</v>
      </c>
      <c r="J647" t="n">
        <v>3</v>
      </c>
      <c r="K647" t="n">
        <v>411.1</v>
      </c>
      <c r="L647" t="inlineStr">
        <is>
          <t>Primary</t>
        </is>
      </c>
    </row>
    <row r="648">
      <c r="A648" t="n">
        <v>2</v>
      </c>
      <c r="B648" s="25" t="inlineStr">
        <is>
          <t>S05</t>
        </is>
      </c>
      <c r="C648" t="inlineStr">
        <is>
          <t>PZ-B</t>
        </is>
      </c>
      <c r="D648" t="n">
        <v>29</v>
      </c>
      <c r="E648" t="inlineStr">
        <is>
          <t>H0324</t>
        </is>
      </c>
      <c r="F648" t="inlineStr">
        <is>
          <t>桃園市大溪區環湖路一段68號-石門水庫南苑停車場-需通行證進出</t>
        </is>
      </c>
      <c r="G648" t="n">
        <v>24.8155409</v>
      </c>
      <c r="H648" t="n">
        <v>121.2486869</v>
      </c>
      <c r="I648" t="n">
        <v>48</v>
      </c>
      <c r="J648" t="n">
        <v>3</v>
      </c>
      <c r="K648" t="n">
        <v>462.1</v>
      </c>
      <c r="L648" t="inlineStr">
        <is>
          <t>Primary</t>
        </is>
      </c>
    </row>
    <row r="649">
      <c r="A649" t="n">
        <v>2</v>
      </c>
      <c r="B649" s="25" t="inlineStr">
        <is>
          <t>S05</t>
        </is>
      </c>
      <c r="C649" t="inlineStr">
        <is>
          <t>PZ-B</t>
        </is>
      </c>
      <c r="D649" t="n">
        <v>30</v>
      </c>
      <c r="E649" t="inlineStr">
        <is>
          <t>H0325</t>
        </is>
      </c>
      <c r="F649" t="inlineStr">
        <is>
          <t>桃園市大溪區環湖路一段68號-石門水庫壩頂漢江亭-需通行證進出</t>
        </is>
      </c>
      <c r="G649" t="n">
        <v>24.8115503</v>
      </c>
      <c r="H649" t="n">
        <v>121.2475153</v>
      </c>
      <c r="I649" t="n">
        <v>48</v>
      </c>
      <c r="J649" t="n">
        <v>3</v>
      </c>
      <c r="K649" t="n">
        <v>513.1</v>
      </c>
      <c r="L649" t="inlineStr">
        <is>
          <t>Primary</t>
        </is>
      </c>
    </row>
    <row r="650">
      <c r="A650" t="n">
        <v>2</v>
      </c>
      <c r="B650" s="25" t="inlineStr">
        <is>
          <t>S05</t>
        </is>
      </c>
      <c r="C650" t="inlineStr">
        <is>
          <t>PZ-B</t>
        </is>
      </c>
      <c r="D650" t="n">
        <v>31</v>
      </c>
      <c r="E650" t="inlineStr">
        <is>
          <t>H0520</t>
        </is>
      </c>
      <c r="F650" t="inlineStr">
        <is>
          <t>桃園市平鎮區湧安路45號-祥安國小</t>
        </is>
      </c>
      <c r="G650" t="n">
        <v>24.893525</v>
      </c>
      <c r="H650" t="n">
        <v>121.202608</v>
      </c>
      <c r="I650" t="n">
        <v>8</v>
      </c>
      <c r="J650" t="n">
        <v>10.2</v>
      </c>
      <c r="K650" t="n">
        <v>531.3</v>
      </c>
      <c r="L650" t="inlineStr">
        <is>
          <t>Primary</t>
        </is>
      </c>
    </row>
    <row r="651">
      <c r="A651" t="n">
        <v>3</v>
      </c>
      <c r="B651" s="25" t="inlineStr">
        <is>
          <t>S05</t>
        </is>
      </c>
      <c r="C651" t="inlineStr">
        <is>
          <t>PZ-B</t>
        </is>
      </c>
      <c r="D651" t="n">
        <v>1</v>
      </c>
      <c r="E651" t="inlineStr">
        <is>
          <t>H0504</t>
        </is>
      </c>
      <c r="F651" t="inlineStr">
        <is>
          <t>桃園市平鎮區東豐路100巷巷底右轉-山豐國小旁</t>
        </is>
      </c>
      <c r="G651" t="n">
        <v>24.897997</v>
      </c>
      <c r="H651" t="n">
        <v>121.213433</v>
      </c>
      <c r="I651" t="n">
        <v>8</v>
      </c>
      <c r="J651" t="n">
        <v>4</v>
      </c>
      <c r="K651" t="n">
        <v>12</v>
      </c>
      <c r="L651" t="inlineStr">
        <is>
          <t>Primary</t>
        </is>
      </c>
    </row>
    <row r="652">
      <c r="A652" t="n">
        <v>3</v>
      </c>
      <c r="B652" s="25" t="inlineStr">
        <is>
          <t>S05</t>
        </is>
      </c>
      <c r="C652" t="inlineStr">
        <is>
          <t>PZ-B</t>
        </is>
      </c>
      <c r="D652" t="n">
        <v>2</v>
      </c>
      <c r="E652" t="inlineStr">
        <is>
          <t>H0824</t>
        </is>
      </c>
      <c r="F652" t="inlineStr">
        <is>
          <t>桃園市龍潭區聖亭路八德段408巷102號</t>
        </is>
      </c>
      <c r="G652" t="n">
        <v>24.884752</v>
      </c>
      <c r="H652" t="n">
        <v>121.201856</v>
      </c>
      <c r="I652" t="n">
        <v>8</v>
      </c>
      <c r="J652" t="n">
        <v>4.5</v>
      </c>
      <c r="K652" t="n">
        <v>24.5</v>
      </c>
      <c r="L652" t="inlineStr">
        <is>
          <t>Primary</t>
        </is>
      </c>
    </row>
    <row r="653">
      <c r="A653" t="n">
        <v>3</v>
      </c>
      <c r="B653" s="25" t="inlineStr">
        <is>
          <t>S05</t>
        </is>
      </c>
      <c r="C653" t="inlineStr">
        <is>
          <t>PZ-B</t>
        </is>
      </c>
      <c r="D653" t="n">
        <v>3</v>
      </c>
      <c r="E653" t="inlineStr">
        <is>
          <t>H0819</t>
        </is>
      </c>
      <c r="F653" t="inlineStr">
        <is>
          <t>桃園市龍潭區湧光路一段169巷</t>
        </is>
      </c>
      <c r="G653" t="n">
        <v>24.885561</v>
      </c>
      <c r="H653" t="n">
        <v>121.192761</v>
      </c>
      <c r="I653" t="n">
        <v>8</v>
      </c>
      <c r="J653" t="n">
        <v>3</v>
      </c>
      <c r="K653" t="n">
        <v>35.5</v>
      </c>
      <c r="L653" t="inlineStr">
        <is>
          <t>Primary</t>
        </is>
      </c>
    </row>
    <row r="654">
      <c r="A654" t="n">
        <v>3</v>
      </c>
      <c r="B654" s="25" t="inlineStr">
        <is>
          <t>S05</t>
        </is>
      </c>
      <c r="C654" t="inlineStr">
        <is>
          <t>PZ-B</t>
        </is>
      </c>
      <c r="D654" t="n">
        <v>4</v>
      </c>
      <c r="E654" t="inlineStr">
        <is>
          <t>H0816</t>
        </is>
      </c>
      <c r="F654" t="inlineStr">
        <is>
          <t>桃園市龍潭區梅龍路583號</t>
        </is>
      </c>
      <c r="G654" t="n">
        <v>24.876578</v>
      </c>
      <c r="H654" t="n">
        <v>121.1892</v>
      </c>
      <c r="I654" t="n">
        <v>8</v>
      </c>
      <c r="J654" t="n">
        <v>3</v>
      </c>
      <c r="K654" t="n">
        <v>46.5</v>
      </c>
      <c r="L654" t="inlineStr">
        <is>
          <t>Primary</t>
        </is>
      </c>
    </row>
    <row r="655">
      <c r="A655" t="n">
        <v>3</v>
      </c>
      <c r="B655" s="25" t="inlineStr">
        <is>
          <t>S05</t>
        </is>
      </c>
      <c r="C655" t="inlineStr">
        <is>
          <t>PZ-B</t>
        </is>
      </c>
      <c r="D655" t="n">
        <v>5</v>
      </c>
      <c r="E655" t="inlineStr">
        <is>
          <t>H0815</t>
        </is>
      </c>
      <c r="F655" t="inlineStr">
        <is>
          <t>桃園市龍潭區梅龍路515巷進去大約200公尺有帆布-追加</t>
        </is>
      </c>
      <c r="G655" t="n">
        <v>24.875828</v>
      </c>
      <c r="H655" t="n">
        <v>121.190727</v>
      </c>
      <c r="I655" t="n">
        <v>8</v>
      </c>
      <c r="J655" t="n">
        <v>3</v>
      </c>
      <c r="K655" t="n">
        <v>57.5</v>
      </c>
      <c r="L655" t="inlineStr">
        <is>
          <t>Primary</t>
        </is>
      </c>
    </row>
    <row r="656">
      <c r="A656" t="n">
        <v>3</v>
      </c>
      <c r="B656" s="25" t="inlineStr">
        <is>
          <t>S05</t>
        </is>
      </c>
      <c r="C656" t="inlineStr">
        <is>
          <t>PZ-B</t>
        </is>
      </c>
      <c r="D656" t="n">
        <v>6</v>
      </c>
      <c r="E656" t="inlineStr">
        <is>
          <t>H0805</t>
        </is>
      </c>
      <c r="F656" t="inlineStr">
        <is>
          <t>桃園市龍潭區百福街68巷</t>
        </is>
      </c>
      <c r="G656" t="n">
        <v>24.869053</v>
      </c>
      <c r="H656" t="n">
        <v>121.216547</v>
      </c>
      <c r="I656" t="n">
        <v>8</v>
      </c>
      <c r="J656" t="n">
        <v>6.5</v>
      </c>
      <c r="K656" t="n">
        <v>72</v>
      </c>
      <c r="L656" t="inlineStr">
        <is>
          <t>Primary</t>
        </is>
      </c>
    </row>
    <row r="657">
      <c r="A657" t="n">
        <v>3</v>
      </c>
      <c r="B657" s="25" t="inlineStr">
        <is>
          <t>S05</t>
        </is>
      </c>
      <c r="C657" t="inlineStr">
        <is>
          <t>PZ-B</t>
        </is>
      </c>
      <c r="D657" t="n">
        <v>7</v>
      </c>
      <c r="E657" t="inlineStr">
        <is>
          <t>H0799</t>
        </is>
      </c>
      <c r="F657" t="inlineStr">
        <is>
          <t>桃園市龍潭區民族路331巷(風之彩社區)</t>
        </is>
      </c>
      <c r="G657" t="n">
        <v>24.837225</v>
      </c>
      <c r="H657" t="n">
        <v>121.234964</v>
      </c>
      <c r="I657" t="n">
        <v>8</v>
      </c>
      <c r="J657" t="n">
        <v>9.6</v>
      </c>
      <c r="K657" t="n">
        <v>89.59999999999999</v>
      </c>
      <c r="L657" t="inlineStr">
        <is>
          <t>Primary</t>
        </is>
      </c>
    </row>
    <row r="658">
      <c r="A658" t="n">
        <v>3</v>
      </c>
      <c r="B658" s="25" t="inlineStr">
        <is>
          <t>S05</t>
        </is>
      </c>
      <c r="C658" t="inlineStr">
        <is>
          <t>PZ-B</t>
        </is>
      </c>
      <c r="D658" t="n">
        <v>8</v>
      </c>
      <c r="E658" t="inlineStr">
        <is>
          <t>H0325</t>
        </is>
      </c>
      <c r="F658" t="inlineStr">
        <is>
          <t>桃園市大溪區環湖路一段68號-石門水庫壩頂漢江亭-需通行證進出</t>
        </is>
      </c>
      <c r="G658" t="n">
        <v>24.810711</v>
      </c>
      <c r="H658" t="n">
        <v>121.243991</v>
      </c>
      <c r="I658" t="n">
        <v>48</v>
      </c>
      <c r="J658" t="n">
        <v>7.4</v>
      </c>
      <c r="K658" t="n">
        <v>145</v>
      </c>
      <c r="L658" t="inlineStr">
        <is>
          <t>Primary</t>
        </is>
      </c>
    </row>
    <row r="659">
      <c r="A659" t="n">
        <v>3</v>
      </c>
      <c r="B659" s="25" t="inlineStr">
        <is>
          <t>S05</t>
        </is>
      </c>
      <c r="C659" t="inlineStr">
        <is>
          <t>PZ-B</t>
        </is>
      </c>
      <c r="D659" t="n">
        <v>9</v>
      </c>
      <c r="E659" t="inlineStr">
        <is>
          <t>H0326</t>
        </is>
      </c>
      <c r="F659" t="inlineStr">
        <is>
          <t>桃園市大溪區環湖路二段10號-阿姆坪抽砂場</t>
        </is>
      </c>
      <c r="G659" t="n">
        <v>24.815122</v>
      </c>
      <c r="H659" t="n">
        <v>121.301725</v>
      </c>
      <c r="I659" t="n">
        <v>8</v>
      </c>
      <c r="J659" t="n">
        <v>14</v>
      </c>
      <c r="K659" t="n">
        <v>167.1</v>
      </c>
      <c r="L659" t="inlineStr">
        <is>
          <t>Primary</t>
        </is>
      </c>
    </row>
    <row r="660">
      <c r="A660" t="n">
        <v>3</v>
      </c>
      <c r="B660" s="25" t="inlineStr">
        <is>
          <t>S05</t>
        </is>
      </c>
      <c r="C660" t="inlineStr">
        <is>
          <t>PZ-B</t>
        </is>
      </c>
      <c r="D660" t="n">
        <v>10</v>
      </c>
      <c r="E660" t="inlineStr">
        <is>
          <t>H0295</t>
        </is>
      </c>
      <c r="F660" t="inlineStr">
        <is>
          <t>桃園市大溪區金山路215號</t>
        </is>
      </c>
      <c r="G660" t="n">
        <v>24.876473</v>
      </c>
      <c r="H660" t="n">
        <v>121.310036</v>
      </c>
      <c r="I660" t="n">
        <v>8</v>
      </c>
      <c r="J660" t="n">
        <v>16.5</v>
      </c>
      <c r="K660" t="n">
        <v>191.6</v>
      </c>
      <c r="L660" t="inlineStr">
        <is>
          <t>Primary</t>
        </is>
      </c>
    </row>
    <row r="661">
      <c r="A661" t="n">
        <v>3</v>
      </c>
      <c r="B661" s="25" t="inlineStr">
        <is>
          <t>S05</t>
        </is>
      </c>
      <c r="C661" t="inlineStr">
        <is>
          <t>PZ-B</t>
        </is>
      </c>
      <c r="D661" t="n">
        <v>11</v>
      </c>
      <c r="E661" t="inlineStr">
        <is>
          <t>H0290</t>
        </is>
      </c>
      <c r="F661" t="inlineStr">
        <is>
          <t>桃園市大溪區向榮街1巷17號</t>
        </is>
      </c>
      <c r="G661" t="n">
        <v>24.890402</v>
      </c>
      <c r="H661" t="n">
        <v>121.323317</v>
      </c>
      <c r="I661" t="n">
        <v>16</v>
      </c>
      <c r="J661" t="n">
        <v>4.9</v>
      </c>
      <c r="K661" t="n">
        <v>212.5</v>
      </c>
      <c r="L661" t="inlineStr">
        <is>
          <t>Primary</t>
        </is>
      </c>
    </row>
    <row r="662">
      <c r="A662" t="n">
        <v>3</v>
      </c>
      <c r="B662" s="25" t="inlineStr">
        <is>
          <t>S05</t>
        </is>
      </c>
      <c r="C662" t="inlineStr">
        <is>
          <t>PZ-B</t>
        </is>
      </c>
      <c r="D662" t="n">
        <v>12</v>
      </c>
      <c r="E662" t="inlineStr">
        <is>
          <t>H0281</t>
        </is>
      </c>
      <c r="F662" t="inlineStr">
        <is>
          <t>桃園市大溪區大鶯路1426巷工地</t>
        </is>
      </c>
      <c r="G662" t="n">
        <v>24.928709</v>
      </c>
      <c r="H662" t="n">
        <v>121.316228</v>
      </c>
      <c r="I662" t="n">
        <v>8</v>
      </c>
      <c r="J662" t="n">
        <v>10.4</v>
      </c>
      <c r="K662" t="n">
        <v>230.8</v>
      </c>
      <c r="L662" t="inlineStr">
        <is>
          <t>Primary</t>
        </is>
      </c>
    </row>
    <row r="663">
      <c r="A663" t="n">
        <v>3</v>
      </c>
      <c r="B663" s="25" t="inlineStr">
        <is>
          <t>S05</t>
        </is>
      </c>
      <c r="C663" t="inlineStr">
        <is>
          <t>PZ-B</t>
        </is>
      </c>
      <c r="D663" t="n">
        <v>13</v>
      </c>
      <c r="E663" t="inlineStr">
        <is>
          <t>H0008</t>
        </is>
      </c>
      <c r="F663" t="inlineStr">
        <is>
          <t>桃園市八德區介壽路二段1360號</t>
        </is>
      </c>
      <c r="G663" t="n">
        <v>24.926673</v>
      </c>
      <c r="H663" t="n">
        <v>121.296602</v>
      </c>
      <c r="I663" t="n">
        <v>8</v>
      </c>
      <c r="J663" t="n">
        <v>4.8</v>
      </c>
      <c r="K663" t="n">
        <v>243.6</v>
      </c>
      <c r="L663" t="inlineStr">
        <is>
          <t>Primary</t>
        </is>
      </c>
    </row>
    <row r="664">
      <c r="A664" t="n">
        <v>3</v>
      </c>
      <c r="B664" s="25" t="inlineStr">
        <is>
          <t>S05</t>
        </is>
      </c>
      <c r="C664" t="inlineStr">
        <is>
          <t>PZ-B</t>
        </is>
      </c>
      <c r="D664" t="n">
        <v>14</v>
      </c>
      <c r="E664" t="inlineStr">
        <is>
          <t>H0007</t>
        </is>
      </c>
      <c r="F664" t="inlineStr">
        <is>
          <t>桃園市八德區介壽路2段1022巷16號旁</t>
        </is>
      </c>
      <c r="G664" t="n">
        <v>24.932982</v>
      </c>
      <c r="H664" t="n">
        <v>121.296597</v>
      </c>
      <c r="I664" t="n">
        <v>16</v>
      </c>
      <c r="J664" t="n">
        <v>3</v>
      </c>
      <c r="K664" t="n">
        <v>262.6</v>
      </c>
      <c r="L664" t="inlineStr">
        <is>
          <t>Primary</t>
        </is>
      </c>
    </row>
    <row r="665">
      <c r="A665" t="n">
        <v>3</v>
      </c>
      <c r="B665" s="25" t="inlineStr">
        <is>
          <t>S05</t>
        </is>
      </c>
      <c r="C665" t="inlineStr">
        <is>
          <t>PZ-B</t>
        </is>
      </c>
      <c r="D665" t="n">
        <v>15</v>
      </c>
      <c r="E665" t="inlineStr">
        <is>
          <t>H0056</t>
        </is>
      </c>
      <c r="F665" t="inlineStr">
        <is>
          <t>桃園市八德區豐成街22號</t>
        </is>
      </c>
      <c r="G665" t="n">
        <v>24.932111</v>
      </c>
      <c r="H665" t="n">
        <v>121.292194</v>
      </c>
      <c r="I665" t="n">
        <v>16</v>
      </c>
      <c r="J665" t="n">
        <v>3</v>
      </c>
      <c r="K665" t="n">
        <v>281.6</v>
      </c>
      <c r="L665" t="inlineStr">
        <is>
          <t>Primary</t>
        </is>
      </c>
    </row>
    <row r="666">
      <c r="A666" t="n">
        <v>3</v>
      </c>
      <c r="B666" s="25" t="inlineStr">
        <is>
          <t>S05</t>
        </is>
      </c>
      <c r="C666" t="inlineStr">
        <is>
          <t>PZ-B</t>
        </is>
      </c>
      <c r="D666" t="n">
        <v>16</v>
      </c>
      <c r="E666" t="inlineStr">
        <is>
          <t>H0055</t>
        </is>
      </c>
      <c r="F666" t="inlineStr">
        <is>
          <t>桃園市八德區豐田路(附座標+照片定位)</t>
        </is>
      </c>
      <c r="G666" t="n">
        <v>24.9310199</v>
      </c>
      <c r="H666" t="n">
        <v>121.2893574</v>
      </c>
      <c r="I666" t="n">
        <v>16</v>
      </c>
      <c r="J666" t="n">
        <v>3</v>
      </c>
      <c r="K666" t="n">
        <v>300.6</v>
      </c>
      <c r="L666" t="inlineStr">
        <is>
          <t>Primary</t>
        </is>
      </c>
    </row>
    <row r="667">
      <c r="A667" t="n">
        <v>3</v>
      </c>
      <c r="B667" s="25" t="inlineStr">
        <is>
          <t>S05</t>
        </is>
      </c>
      <c r="C667" t="inlineStr">
        <is>
          <t>PZ-B</t>
        </is>
      </c>
      <c r="D667" t="n">
        <v>17</v>
      </c>
      <c r="E667" t="inlineStr">
        <is>
          <t>H0028</t>
        </is>
      </c>
      <c r="F667" t="inlineStr">
        <is>
          <t>桃園市八德區建國路165號旁</t>
        </is>
      </c>
      <c r="G667" t="n">
        <v>24.934119</v>
      </c>
      <c r="H667" t="n">
        <v>121.287086</v>
      </c>
      <c r="I667" t="n">
        <v>24</v>
      </c>
      <c r="J667" t="n">
        <v>3</v>
      </c>
      <c r="K667" t="n">
        <v>327.6</v>
      </c>
      <c r="L667" t="inlineStr">
        <is>
          <t>Primary</t>
        </is>
      </c>
    </row>
    <row r="668">
      <c r="A668" t="n">
        <v>3</v>
      </c>
      <c r="B668" s="25" t="inlineStr">
        <is>
          <t>S05</t>
        </is>
      </c>
      <c r="C668" t="inlineStr">
        <is>
          <t>PZ-B</t>
        </is>
      </c>
      <c r="D668" t="n">
        <v>18</v>
      </c>
      <c r="E668" t="inlineStr">
        <is>
          <t>H0005</t>
        </is>
      </c>
      <c r="F668" t="inlineStr">
        <is>
          <t>桃園市八德區仁德五路27號</t>
        </is>
      </c>
      <c r="G668" t="n">
        <v>24.935122</v>
      </c>
      <c r="H668" t="n">
        <v>121.28895</v>
      </c>
      <c r="I668" t="n">
        <v>8</v>
      </c>
      <c r="J668" t="n">
        <v>3</v>
      </c>
      <c r="K668" t="n">
        <v>338.6</v>
      </c>
      <c r="L668" t="inlineStr">
        <is>
          <t>Primary</t>
        </is>
      </c>
    </row>
    <row r="669">
      <c r="A669" t="n">
        <v>3</v>
      </c>
      <c r="B669" s="25" t="inlineStr">
        <is>
          <t>S05</t>
        </is>
      </c>
      <c r="C669" t="inlineStr">
        <is>
          <t>PZ-B</t>
        </is>
      </c>
      <c r="D669" t="n">
        <v>19</v>
      </c>
      <c r="E669" t="inlineStr">
        <is>
          <t>H0029</t>
        </is>
      </c>
      <c r="F669" t="inlineStr">
        <is>
          <t>桃園市八德區建國路270號(捷運工程工地)-電聯定位</t>
        </is>
      </c>
      <c r="G669" t="n">
        <v>24.9370592</v>
      </c>
      <c r="H669" t="n">
        <v>121.2886762</v>
      </c>
      <c r="I669" t="n">
        <v>16</v>
      </c>
      <c r="J669" t="n">
        <v>3</v>
      </c>
      <c r="K669" t="n">
        <v>357.6</v>
      </c>
      <c r="L669" t="inlineStr">
        <is>
          <t>Primary</t>
        </is>
      </c>
    </row>
    <row r="670">
      <c r="A670" t="n">
        <v>3</v>
      </c>
      <c r="B670" s="25" t="inlineStr">
        <is>
          <t>S05</t>
        </is>
      </c>
      <c r="C670" t="inlineStr">
        <is>
          <t>PZ-B</t>
        </is>
      </c>
      <c r="D670" t="n">
        <v>20</v>
      </c>
      <c r="E670" t="inlineStr">
        <is>
          <t>H0029</t>
        </is>
      </c>
      <c r="F670" t="inlineStr">
        <is>
          <t>桃園市八德區建國路270號(捷運工程工地)-電聯定位</t>
        </is>
      </c>
      <c r="G670" t="n">
        <v>24.937344</v>
      </c>
      <c r="H670" t="n">
        <v>121.28833</v>
      </c>
      <c r="I670" t="n">
        <v>16</v>
      </c>
      <c r="J670" t="n">
        <v>2</v>
      </c>
      <c r="K670" t="n">
        <v>375.6</v>
      </c>
      <c r="L670" t="inlineStr">
        <is>
          <t>Primary</t>
        </is>
      </c>
    </row>
    <row r="671">
      <c r="A671" t="n">
        <v>3</v>
      </c>
      <c r="B671" s="25" t="inlineStr">
        <is>
          <t>S05</t>
        </is>
      </c>
      <c r="C671" t="inlineStr">
        <is>
          <t>PZ-B</t>
        </is>
      </c>
      <c r="D671" t="n">
        <v>21</v>
      </c>
      <c r="E671" t="inlineStr">
        <is>
          <t>H0046</t>
        </is>
      </c>
      <c r="F671" t="inlineStr">
        <is>
          <t>桃園市八德區新興路881巷20號</t>
        </is>
      </c>
      <c r="G671" t="n">
        <v>24.943801</v>
      </c>
      <c r="H671" t="n">
        <v>121.2796505</v>
      </c>
      <c r="I671" t="n">
        <v>16</v>
      </c>
      <c r="J671" t="n">
        <v>3</v>
      </c>
      <c r="K671" t="n">
        <v>394.6</v>
      </c>
      <c r="L671" t="inlineStr">
        <is>
          <t>Primary</t>
        </is>
      </c>
    </row>
    <row r="672">
      <c r="A672" t="n">
        <v>3</v>
      </c>
      <c r="B672" s="25" t="inlineStr">
        <is>
          <t>S05</t>
        </is>
      </c>
      <c r="C672" t="inlineStr">
        <is>
          <t>PZ-B</t>
        </is>
      </c>
      <c r="D672" t="n">
        <v>22</v>
      </c>
      <c r="E672" t="inlineStr">
        <is>
          <t>H0044</t>
        </is>
      </c>
      <c r="F672" t="inlineStr">
        <is>
          <t>桃園市八德區新興路1038巷30號旁</t>
        </is>
      </c>
      <c r="G672" t="n">
        <v>24.942481</v>
      </c>
      <c r="H672" t="n">
        <v>121.2750806666667</v>
      </c>
      <c r="I672" t="n">
        <v>24</v>
      </c>
      <c r="J672" t="n">
        <v>3</v>
      </c>
      <c r="K672" t="n">
        <v>421.6</v>
      </c>
      <c r="L672" t="inlineStr">
        <is>
          <t>Primary</t>
        </is>
      </c>
    </row>
    <row r="673">
      <c r="A673" t="n">
        <v>3</v>
      </c>
      <c r="B673" s="25" t="inlineStr">
        <is>
          <t>S05</t>
        </is>
      </c>
      <c r="C673" t="inlineStr">
        <is>
          <t>PZ-B</t>
        </is>
      </c>
      <c r="D673" t="n">
        <v>23</v>
      </c>
      <c r="E673" t="inlineStr">
        <is>
          <t>H0437</t>
        </is>
      </c>
      <c r="F673" t="inlineStr">
        <is>
          <t>桃園市中壢區華祥三街19號旁工地</t>
        </is>
      </c>
      <c r="G673" t="n">
        <v>24.949266</v>
      </c>
      <c r="H673" t="n">
        <v>121.26155</v>
      </c>
      <c r="I673" t="n">
        <v>8</v>
      </c>
      <c r="J673" t="n">
        <v>3.7</v>
      </c>
      <c r="K673" t="n">
        <v>433.4</v>
      </c>
      <c r="L673" t="inlineStr">
        <is>
          <t>Primary</t>
        </is>
      </c>
    </row>
    <row r="674">
      <c r="A674" t="n">
        <v>3</v>
      </c>
      <c r="B674" s="25" t="inlineStr">
        <is>
          <t>S05</t>
        </is>
      </c>
      <c r="C674" t="inlineStr">
        <is>
          <t>PZ-B</t>
        </is>
      </c>
      <c r="D674" t="n">
        <v>24</v>
      </c>
      <c r="E674" t="inlineStr">
        <is>
          <t>H0369</t>
        </is>
      </c>
      <c r="F674" t="inlineStr">
        <is>
          <t>桃園市中壢區功學路109號對面</t>
        </is>
      </c>
      <c r="G674" t="n">
        <v>24.953933</v>
      </c>
      <c r="H674" t="n">
        <v>121.2563</v>
      </c>
      <c r="I674" t="n">
        <v>8</v>
      </c>
      <c r="J674" t="n">
        <v>3</v>
      </c>
      <c r="K674" t="n">
        <v>444.4</v>
      </c>
      <c r="L674" t="inlineStr">
        <is>
          <t>Primary</t>
        </is>
      </c>
    </row>
    <row r="675">
      <c r="A675" t="n">
        <v>3</v>
      </c>
      <c r="B675" s="25" t="inlineStr">
        <is>
          <t>S05</t>
        </is>
      </c>
      <c r="C675" t="inlineStr">
        <is>
          <t>PZ-B</t>
        </is>
      </c>
      <c r="D675" t="n">
        <v>25</v>
      </c>
      <c r="E675" t="inlineStr">
        <is>
          <t>H0436</t>
        </is>
      </c>
      <c r="F675" t="inlineStr">
        <is>
          <t>桃園市中壢區普忠路737號</t>
        </is>
      </c>
      <c r="G675" t="n">
        <v>24.951769</v>
      </c>
      <c r="H675" t="n">
        <v>121.253106</v>
      </c>
      <c r="I675" t="n">
        <v>8</v>
      </c>
      <c r="J675" t="n">
        <v>3</v>
      </c>
      <c r="K675" t="n">
        <v>455.4</v>
      </c>
      <c r="L675" t="inlineStr">
        <is>
          <t>Primary</t>
        </is>
      </c>
    </row>
    <row r="676">
      <c r="A676" t="n">
        <v>3</v>
      </c>
      <c r="B676" s="25" t="inlineStr">
        <is>
          <t>S05</t>
        </is>
      </c>
      <c r="C676" t="inlineStr">
        <is>
          <t>PZ-B</t>
        </is>
      </c>
      <c r="D676" t="n">
        <v>26</v>
      </c>
      <c r="E676" t="inlineStr">
        <is>
          <t>H0476</t>
        </is>
      </c>
      <c r="F676" t="inlineStr">
        <is>
          <t>桃園市中壢區環中東路701號旁工地-電聯定位</t>
        </is>
      </c>
      <c r="G676" t="n">
        <v>24.953822</v>
      </c>
      <c r="H676" t="n">
        <v>121.245547</v>
      </c>
      <c r="I676" t="n">
        <v>8</v>
      </c>
      <c r="J676" t="n">
        <v>3</v>
      </c>
      <c r="K676" t="n">
        <v>466.4</v>
      </c>
      <c r="L676" t="inlineStr">
        <is>
          <t>Primary</t>
        </is>
      </c>
    </row>
    <row r="677">
      <c r="A677" t="n">
        <v>3</v>
      </c>
      <c r="B677" s="25" t="inlineStr">
        <is>
          <t>S05</t>
        </is>
      </c>
      <c r="C677" t="inlineStr">
        <is>
          <t>PZ-B</t>
        </is>
      </c>
      <c r="D677" t="n">
        <v>27</v>
      </c>
      <c r="E677" t="inlineStr">
        <is>
          <t>H0474</t>
        </is>
      </c>
      <c r="F677" t="inlineStr">
        <is>
          <t>桃園市中壢區環中東路&amp;實踐路交叉口</t>
        </is>
      </c>
      <c r="G677" t="n">
        <v>24.953614</v>
      </c>
      <c r="H677" t="n">
        <v>121.243002</v>
      </c>
      <c r="I677" t="n">
        <v>16</v>
      </c>
      <c r="J677" t="n">
        <v>3</v>
      </c>
      <c r="K677" t="n">
        <v>485.4</v>
      </c>
      <c r="L677" t="inlineStr">
        <is>
          <t>Primary</t>
        </is>
      </c>
    </row>
    <row r="678">
      <c r="A678" t="n">
        <v>3</v>
      </c>
      <c r="B678" s="25" t="inlineStr">
        <is>
          <t>S05</t>
        </is>
      </c>
      <c r="C678" t="inlineStr">
        <is>
          <t>PZ-B</t>
        </is>
      </c>
      <c r="D678" t="n">
        <v>28</v>
      </c>
      <c r="E678" t="inlineStr">
        <is>
          <t>H0341</t>
        </is>
      </c>
      <c r="F678" t="inlineStr">
        <is>
          <t>桃園市中壢區中山東路二段323巷59號</t>
        </is>
      </c>
      <c r="G678" t="n">
        <v>24.950658</v>
      </c>
      <c r="H678" t="n">
        <v>121.24353</v>
      </c>
      <c r="I678" t="n">
        <v>8</v>
      </c>
      <c r="J678" t="n">
        <v>3</v>
      </c>
      <c r="K678" t="n">
        <v>496.4</v>
      </c>
      <c r="L678" t="inlineStr">
        <is>
          <t>Primary</t>
        </is>
      </c>
    </row>
    <row r="679">
      <c r="A679" t="n">
        <v>3</v>
      </c>
      <c r="B679" s="25" t="inlineStr">
        <is>
          <t>S05</t>
        </is>
      </c>
      <c r="C679" t="inlineStr">
        <is>
          <t>PZ-B</t>
        </is>
      </c>
      <c r="D679" t="n">
        <v>29</v>
      </c>
      <c r="E679" t="inlineStr">
        <is>
          <t>H0338</t>
        </is>
      </c>
      <c r="F679" t="inlineStr">
        <is>
          <t>桃園市中壢區中山東路2段328號附近</t>
        </is>
      </c>
      <c r="G679" t="n">
        <v>24.949583</v>
      </c>
      <c r="H679" t="n">
        <v>121.24148</v>
      </c>
      <c r="I679" t="n">
        <v>8</v>
      </c>
      <c r="J679" t="n">
        <v>3</v>
      </c>
      <c r="K679" t="n">
        <v>507.4</v>
      </c>
      <c r="L679" t="inlineStr">
        <is>
          <t>Primary</t>
        </is>
      </c>
    </row>
    <row r="680">
      <c r="A680" t="n">
        <v>3</v>
      </c>
      <c r="B680" s="25" t="inlineStr">
        <is>
          <t>S05</t>
        </is>
      </c>
      <c r="C680" t="inlineStr">
        <is>
          <t>PZ-B</t>
        </is>
      </c>
      <c r="D680" t="n">
        <v>30</v>
      </c>
      <c r="E680" t="inlineStr">
        <is>
          <t>H0427</t>
        </is>
      </c>
      <c r="F680" t="inlineStr">
        <is>
          <t>桃園市中壢區國泰街141號對面工地</t>
        </is>
      </c>
      <c r="G680" t="n">
        <v>24.949977</v>
      </c>
      <c r="H680" t="n">
        <v>121.237161</v>
      </c>
      <c r="I680" t="n">
        <v>8</v>
      </c>
      <c r="J680" t="n">
        <v>3</v>
      </c>
      <c r="K680" t="n">
        <v>518.4</v>
      </c>
      <c r="L680" t="inlineStr">
        <is>
          <t>Primary</t>
        </is>
      </c>
    </row>
    <row r="681">
      <c r="A681" t="n">
        <v>3</v>
      </c>
      <c r="B681" s="25" t="inlineStr">
        <is>
          <t>S05</t>
        </is>
      </c>
      <c r="C681" t="inlineStr">
        <is>
          <t>PZ-B</t>
        </is>
      </c>
      <c r="D681" t="n">
        <v>31</v>
      </c>
      <c r="E681" t="inlineStr">
        <is>
          <t>H0506</t>
        </is>
      </c>
      <c r="F681" t="inlineStr">
        <is>
          <t>桃園市平鎮區金陵路二段268號</t>
        </is>
      </c>
      <c r="G681" t="n">
        <v>24.937286</v>
      </c>
      <c r="H681" t="n">
        <v>121.224259</v>
      </c>
      <c r="I681" t="n">
        <v>8</v>
      </c>
      <c r="J681" t="n">
        <v>4.6</v>
      </c>
      <c r="K681" t="n">
        <v>531</v>
      </c>
      <c r="L681" t="inlineStr">
        <is>
          <t>Primary</t>
        </is>
      </c>
    </row>
    <row r="682">
      <c r="A682" t="n">
        <v>4</v>
      </c>
      <c r="B682" s="25" t="inlineStr">
        <is>
          <t>S05</t>
        </is>
      </c>
      <c r="C682" t="inlineStr">
        <is>
          <t>PZ-B</t>
        </is>
      </c>
      <c r="D682" t="n">
        <v>1</v>
      </c>
      <c r="E682" t="inlineStr">
        <is>
          <t>H0718</t>
        </is>
      </c>
      <c r="F682" t="inlineStr">
        <is>
          <t>桃園市楊梅區金龍三路1號-消防埔心分隊</t>
        </is>
      </c>
      <c r="G682" t="n">
        <v>24.910989</v>
      </c>
      <c r="H682" t="n">
        <v>121.187461</v>
      </c>
      <c r="I682" t="n">
        <v>8</v>
      </c>
      <c r="J682" t="n">
        <v>9.6</v>
      </c>
      <c r="K682" t="n">
        <v>17.6</v>
      </c>
      <c r="L682" t="inlineStr">
        <is>
          <t>Primary</t>
        </is>
      </c>
    </row>
    <row r="683">
      <c r="A683" t="n">
        <v>4</v>
      </c>
      <c r="B683" s="25" t="inlineStr">
        <is>
          <t>S05</t>
        </is>
      </c>
      <c r="C683" t="inlineStr">
        <is>
          <t>PZ-B</t>
        </is>
      </c>
      <c r="D683" t="n">
        <v>2</v>
      </c>
      <c r="E683" t="inlineStr">
        <is>
          <t>H0745</t>
        </is>
      </c>
      <c r="F683" t="inlineStr">
        <is>
          <t>桃園市楊梅區梅獅路一段226巷9弄188號旁</t>
        </is>
      </c>
      <c r="G683" t="n">
        <v>24.919011</v>
      </c>
      <c r="H683" t="n">
        <v>121.1779</v>
      </c>
      <c r="I683" t="n">
        <v>8</v>
      </c>
      <c r="J683" t="n">
        <v>3.2</v>
      </c>
      <c r="K683" t="n">
        <v>28.7</v>
      </c>
      <c r="L683" t="inlineStr">
        <is>
          <t>Primary</t>
        </is>
      </c>
    </row>
    <row r="684">
      <c r="A684" t="n">
        <v>4</v>
      </c>
      <c r="B684" s="25" t="inlineStr">
        <is>
          <t>S05</t>
        </is>
      </c>
      <c r="C684" t="inlineStr">
        <is>
          <t>PZ-B</t>
        </is>
      </c>
      <c r="D684" t="n">
        <v>3</v>
      </c>
      <c r="E684" t="inlineStr">
        <is>
          <t>H0719</t>
        </is>
      </c>
      <c r="F684" t="inlineStr">
        <is>
          <t>桃園市楊梅區青山二街308號</t>
        </is>
      </c>
      <c r="G684" t="n">
        <v>24.920684</v>
      </c>
      <c r="H684" t="n">
        <v>121.174398</v>
      </c>
      <c r="I684" t="n">
        <v>8</v>
      </c>
      <c r="J684" t="n">
        <v>3</v>
      </c>
      <c r="K684" t="n">
        <v>39.7</v>
      </c>
      <c r="L684" t="inlineStr">
        <is>
          <t>Primary</t>
        </is>
      </c>
    </row>
    <row r="685">
      <c r="A685" t="n">
        <v>4</v>
      </c>
      <c r="B685" s="25" t="inlineStr">
        <is>
          <t>S05</t>
        </is>
      </c>
      <c r="C685" t="inlineStr">
        <is>
          <t>PZ-B</t>
        </is>
      </c>
      <c r="D685" t="n">
        <v>4</v>
      </c>
      <c r="E685" t="inlineStr">
        <is>
          <t>H0740</t>
        </is>
      </c>
      <c r="F685" t="inlineStr">
        <is>
          <t>桃園市楊梅區高獅路822巷1-1號旁</t>
        </is>
      </c>
      <c r="G685" t="n">
        <v>24.9233</v>
      </c>
      <c r="H685" t="n">
        <v>121.167506</v>
      </c>
      <c r="I685" t="n">
        <v>8</v>
      </c>
      <c r="J685" t="n">
        <v>3</v>
      </c>
      <c r="K685" t="n">
        <v>50.7</v>
      </c>
      <c r="L685" t="inlineStr">
        <is>
          <t>Primary</t>
        </is>
      </c>
    </row>
    <row r="686">
      <c r="A686" t="n">
        <v>4</v>
      </c>
      <c r="B686" s="25" t="inlineStr">
        <is>
          <t>S05</t>
        </is>
      </c>
      <c r="C686" t="inlineStr">
        <is>
          <t>PZ-B</t>
        </is>
      </c>
      <c r="D686" t="n">
        <v>5</v>
      </c>
      <c r="E686" t="inlineStr">
        <is>
          <t>H0738</t>
        </is>
      </c>
      <c r="F686" t="inlineStr">
        <is>
          <t>桃園市楊梅區高獅路759號</t>
        </is>
      </c>
      <c r="G686" t="n">
        <v>24.924356</v>
      </c>
      <c r="H686" t="n">
        <v>121.164786</v>
      </c>
      <c r="I686" t="n">
        <v>8</v>
      </c>
      <c r="J686" t="n">
        <v>3</v>
      </c>
      <c r="K686" t="n">
        <v>61.7</v>
      </c>
      <c r="L686" t="inlineStr">
        <is>
          <t>Primary</t>
        </is>
      </c>
    </row>
    <row r="687">
      <c r="A687" t="n">
        <v>4</v>
      </c>
      <c r="B687" s="25" t="inlineStr">
        <is>
          <t>S05</t>
        </is>
      </c>
      <c r="C687" t="inlineStr">
        <is>
          <t>PZ-B</t>
        </is>
      </c>
      <c r="D687" t="n">
        <v>6</v>
      </c>
      <c r="E687" t="inlineStr">
        <is>
          <t>H0688</t>
        </is>
      </c>
      <c r="F687" t="inlineStr">
        <is>
          <t>桃園市楊梅區幼獅工業區高獅路580號-K6C廠(景碩廠內</t>
        </is>
      </c>
      <c r="G687" t="n">
        <v>24.924686</v>
      </c>
      <c r="H687" t="n">
        <v>121.161281</v>
      </c>
      <c r="I687" t="n">
        <v>32</v>
      </c>
      <c r="J687" t="n">
        <v>3</v>
      </c>
      <c r="K687" t="n">
        <v>96.7</v>
      </c>
      <c r="L687" t="inlineStr">
        <is>
          <t>Primary</t>
        </is>
      </c>
    </row>
    <row r="688">
      <c r="A688" t="n">
        <v>4</v>
      </c>
      <c r="B688" s="25" t="inlineStr">
        <is>
          <t>S05</t>
        </is>
      </c>
      <c r="C688" t="inlineStr">
        <is>
          <t>PZ-B</t>
        </is>
      </c>
      <c r="D688" t="n">
        <v>7</v>
      </c>
      <c r="E688" t="inlineStr">
        <is>
          <t>H0743</t>
        </is>
      </c>
      <c r="F688" t="inlineStr">
        <is>
          <t>桃園市楊梅區梅高路210巷238弄-附地標(幼獅三路區)</t>
        </is>
      </c>
      <c r="G688" t="n">
        <v>24.927595</v>
      </c>
      <c r="H688" t="n">
        <v>121.150333</v>
      </c>
      <c r="I688" t="n">
        <v>8</v>
      </c>
      <c r="J688" t="n">
        <v>3</v>
      </c>
      <c r="K688" t="n">
        <v>107.7</v>
      </c>
      <c r="L688" t="inlineStr">
        <is>
          <t>Primary</t>
        </is>
      </c>
    </row>
    <row r="689">
      <c r="A689" t="n">
        <v>4</v>
      </c>
      <c r="B689" s="25" t="inlineStr">
        <is>
          <t>S05</t>
        </is>
      </c>
      <c r="C689" t="inlineStr">
        <is>
          <t>PZ-B</t>
        </is>
      </c>
      <c r="D689" t="n">
        <v>8</v>
      </c>
      <c r="E689" t="inlineStr">
        <is>
          <t>H0744</t>
        </is>
      </c>
      <c r="F689" t="inlineStr">
        <is>
          <t>桃園市楊梅區梅高路與幼獅路三段交叉口-附地標</t>
        </is>
      </c>
      <c r="G689" t="n">
        <v>24.929228</v>
      </c>
      <c r="H689" t="n">
        <v>121.147552</v>
      </c>
      <c r="I689" t="n">
        <v>16</v>
      </c>
      <c r="J689" t="n">
        <v>3</v>
      </c>
      <c r="K689" t="n">
        <v>126.7</v>
      </c>
      <c r="L689" t="inlineStr">
        <is>
          <t>Primary</t>
        </is>
      </c>
    </row>
    <row r="690">
      <c r="A690" t="n">
        <v>4</v>
      </c>
      <c r="B690" s="25" t="inlineStr">
        <is>
          <t>S05</t>
        </is>
      </c>
      <c r="C690" t="inlineStr">
        <is>
          <t>PZ-B</t>
        </is>
      </c>
      <c r="D690" t="n">
        <v>9</v>
      </c>
      <c r="E690" t="inlineStr">
        <is>
          <t>H0731</t>
        </is>
      </c>
      <c r="F690" t="inlineStr">
        <is>
          <t>桃園市楊梅區高上路１段389巷進入</t>
        </is>
      </c>
      <c r="G690" t="n">
        <v>24.941</v>
      </c>
      <c r="H690" t="n">
        <v>121.153444</v>
      </c>
      <c r="I690" t="n">
        <v>8</v>
      </c>
      <c r="J690" t="n">
        <v>3.4</v>
      </c>
      <c r="K690" t="n">
        <v>138.2</v>
      </c>
      <c r="L690" t="inlineStr">
        <is>
          <t>Primary</t>
        </is>
      </c>
    </row>
    <row r="691">
      <c r="A691" t="n">
        <v>4</v>
      </c>
      <c r="B691" s="25" t="inlineStr">
        <is>
          <t>S05</t>
        </is>
      </c>
      <c r="C691" t="inlineStr">
        <is>
          <t>PZ-B</t>
        </is>
      </c>
      <c r="D691" t="n">
        <v>10</v>
      </c>
      <c r="E691" t="inlineStr">
        <is>
          <t>H0660</t>
        </is>
      </c>
      <c r="F691" t="inlineStr">
        <is>
          <t>桃園市新屋區梅高路三段97號(老K)</t>
        </is>
      </c>
      <c r="G691" t="n">
        <v>24.953597</v>
      </c>
      <c r="H691" t="n">
        <v>121.147</v>
      </c>
      <c r="I691" t="n">
        <v>8</v>
      </c>
      <c r="J691" t="n">
        <v>3.7</v>
      </c>
      <c r="K691" t="n">
        <v>149.9</v>
      </c>
      <c r="L691" t="inlineStr">
        <is>
          <t>Primary</t>
        </is>
      </c>
    </row>
    <row r="692">
      <c r="A692" t="n">
        <v>4</v>
      </c>
      <c r="B692" s="25" t="inlineStr">
        <is>
          <t>S05</t>
        </is>
      </c>
      <c r="C692" t="inlineStr">
        <is>
          <t>PZ-B</t>
        </is>
      </c>
      <c r="D692" t="n">
        <v>11</v>
      </c>
      <c r="E692" t="inlineStr">
        <is>
          <t>H0652</t>
        </is>
      </c>
      <c r="F692" t="inlineStr">
        <is>
          <t>桃園市新屋區青田路376巷39之20號-面對東鉑企業的左邊</t>
        </is>
      </c>
      <c r="G692" t="n">
        <v>24.957061</v>
      </c>
      <c r="H692" t="n">
        <v>121.144369</v>
      </c>
      <c r="I692" t="n">
        <v>8</v>
      </c>
      <c r="J692" t="n">
        <v>3</v>
      </c>
      <c r="K692" t="n">
        <v>160.9</v>
      </c>
      <c r="L692" t="inlineStr">
        <is>
          <t>Primary</t>
        </is>
      </c>
    </row>
    <row r="693">
      <c r="A693" t="n">
        <v>4</v>
      </c>
      <c r="B693" s="25" t="inlineStr">
        <is>
          <t>S05</t>
        </is>
      </c>
      <c r="C693" t="inlineStr">
        <is>
          <t>PZ-B</t>
        </is>
      </c>
      <c r="D693" t="n">
        <v>12</v>
      </c>
      <c r="E693" t="inlineStr">
        <is>
          <t>H0650</t>
        </is>
      </c>
      <c r="F693" t="inlineStr">
        <is>
          <t>桃園市新屋區青田路313號旁工地銷售中心</t>
        </is>
      </c>
      <c r="G693" t="n">
        <v>24.956944</v>
      </c>
      <c r="H693" t="n">
        <v>121.142452</v>
      </c>
      <c r="I693" t="n">
        <v>8</v>
      </c>
      <c r="J693" t="n">
        <v>3</v>
      </c>
      <c r="K693" t="n">
        <v>171.9</v>
      </c>
      <c r="L693" t="inlineStr">
        <is>
          <t>Primary</t>
        </is>
      </c>
    </row>
    <row r="694">
      <c r="A694" t="n">
        <v>4</v>
      </c>
      <c r="B694" s="25" t="inlineStr">
        <is>
          <t>S05</t>
        </is>
      </c>
      <c r="C694" t="inlineStr">
        <is>
          <t>PZ-B</t>
        </is>
      </c>
      <c r="D694" t="n">
        <v>13</v>
      </c>
      <c r="E694" t="inlineStr">
        <is>
          <t>H0651</t>
        </is>
      </c>
      <c r="F694" t="inlineStr">
        <is>
          <t>桃園市新屋區青田路319號</t>
        </is>
      </c>
      <c r="G694" t="n">
        <v>24.956933</v>
      </c>
      <c r="H694" t="n">
        <v>121.142447</v>
      </c>
      <c r="I694" t="n">
        <v>16</v>
      </c>
      <c r="J694" t="n">
        <v>2</v>
      </c>
      <c r="K694" t="n">
        <v>189.9</v>
      </c>
      <c r="L694" t="inlineStr">
        <is>
          <t>Primary</t>
        </is>
      </c>
    </row>
    <row r="695">
      <c r="A695" t="n">
        <v>4</v>
      </c>
      <c r="B695" s="25" t="inlineStr">
        <is>
          <t>S05</t>
        </is>
      </c>
      <c r="C695" t="inlineStr">
        <is>
          <t>PZ-B</t>
        </is>
      </c>
      <c r="D695" t="n">
        <v>14</v>
      </c>
      <c r="E695" t="inlineStr">
        <is>
          <t>H0649</t>
        </is>
      </c>
      <c r="F695" t="inlineStr">
        <is>
          <t>桃園市新屋區青田路199巷323號-對面工地</t>
        </is>
      </c>
      <c r="G695" t="n">
        <v>24.956494</v>
      </c>
      <c r="H695" t="n">
        <v>121.136177</v>
      </c>
      <c r="I695" t="n">
        <v>8</v>
      </c>
      <c r="J695" t="n">
        <v>3</v>
      </c>
      <c r="K695" t="n">
        <v>200.9</v>
      </c>
      <c r="L695" t="inlineStr">
        <is>
          <t>Primary</t>
        </is>
      </c>
    </row>
    <row r="696">
      <c r="A696" t="n">
        <v>4</v>
      </c>
      <c r="B696" s="25" t="inlineStr">
        <is>
          <t>S05</t>
        </is>
      </c>
      <c r="C696" t="inlineStr">
        <is>
          <t>PZ-B</t>
        </is>
      </c>
      <c r="D696" t="n">
        <v>15</v>
      </c>
      <c r="E696" t="inlineStr">
        <is>
          <t>H0639</t>
        </is>
      </c>
      <c r="F696" t="inlineStr">
        <is>
          <t>桃園市新屋區快速路六段旁-附座標</t>
        </is>
      </c>
      <c r="G696" t="n">
        <v>24.964906</v>
      </c>
      <c r="H696" t="n">
        <v>121.134622</v>
      </c>
      <c r="I696" t="n">
        <v>16</v>
      </c>
      <c r="J696" t="n">
        <v>3</v>
      </c>
      <c r="K696" t="n">
        <v>219.9</v>
      </c>
      <c r="L696" t="inlineStr">
        <is>
          <t>Primary</t>
        </is>
      </c>
    </row>
    <row r="697">
      <c r="A697" t="n">
        <v>4</v>
      </c>
      <c r="B697" s="25" t="inlineStr">
        <is>
          <t>S05</t>
        </is>
      </c>
      <c r="C697" t="inlineStr">
        <is>
          <t>PZ-B</t>
        </is>
      </c>
      <c r="D697" t="n">
        <v>16</v>
      </c>
      <c r="E697" t="inlineStr">
        <is>
          <t>H0666</t>
        </is>
      </c>
      <c r="F697" t="inlineStr">
        <is>
          <t>桃園市新屋區清華路50巷24.973982,121.1325892,39</t>
        </is>
      </c>
      <c r="G697" t="n">
        <v>24.973806</v>
      </c>
      <c r="H697" t="n">
        <v>121.1326</v>
      </c>
      <c r="I697" t="n">
        <v>8</v>
      </c>
      <c r="J697" t="n">
        <v>3</v>
      </c>
      <c r="K697" t="n">
        <v>230.9</v>
      </c>
      <c r="L697" t="inlineStr">
        <is>
          <t>Primary</t>
        </is>
      </c>
    </row>
    <row r="698">
      <c r="A698" t="n">
        <v>4</v>
      </c>
      <c r="B698" s="25" t="inlineStr">
        <is>
          <t>S05</t>
        </is>
      </c>
      <c r="C698" t="inlineStr">
        <is>
          <t>PZ-B</t>
        </is>
      </c>
      <c r="D698" t="n">
        <v>17</v>
      </c>
      <c r="E698" t="inlineStr">
        <is>
          <t>H0665</t>
        </is>
      </c>
      <c r="F698" t="inlineStr">
        <is>
          <t>桃園市新屋區清華路50巷</t>
        </is>
      </c>
      <c r="G698" t="n">
        <v>24.973842</v>
      </c>
      <c r="H698" t="n">
        <v>121.13272</v>
      </c>
      <c r="I698" t="n">
        <v>8</v>
      </c>
      <c r="J698" t="n">
        <v>2</v>
      </c>
      <c r="K698" t="n">
        <v>240.9</v>
      </c>
      <c r="L698" t="inlineStr">
        <is>
          <t>Primary</t>
        </is>
      </c>
    </row>
    <row r="699">
      <c r="A699" t="n">
        <v>4</v>
      </c>
      <c r="B699" s="25" t="inlineStr">
        <is>
          <t>S05</t>
        </is>
      </c>
      <c r="C699" t="inlineStr">
        <is>
          <t>PZ-B</t>
        </is>
      </c>
      <c r="D699" t="n">
        <v>18</v>
      </c>
      <c r="E699" t="inlineStr">
        <is>
          <t>H0662</t>
        </is>
      </c>
      <c r="F699" t="inlineStr">
        <is>
          <t>桃園市新屋區清文路50巷</t>
        </is>
      </c>
      <c r="G699" t="n">
        <v>24.972628</v>
      </c>
      <c r="H699" t="n">
        <v>121.11927</v>
      </c>
      <c r="I699" t="n">
        <v>8</v>
      </c>
      <c r="J699" t="n">
        <v>3.3</v>
      </c>
      <c r="K699" t="n">
        <v>252.2</v>
      </c>
      <c r="L699" t="inlineStr">
        <is>
          <t>Primary</t>
        </is>
      </c>
    </row>
    <row r="700">
      <c r="A700" t="n">
        <v>4</v>
      </c>
      <c r="B700" s="25" t="inlineStr">
        <is>
          <t>S05</t>
        </is>
      </c>
      <c r="C700" t="inlineStr">
        <is>
          <t>PZ-B</t>
        </is>
      </c>
      <c r="D700" t="n">
        <v>19</v>
      </c>
      <c r="E700" t="inlineStr">
        <is>
          <t>H0663</t>
        </is>
      </c>
      <c r="F700" t="inlineStr">
        <is>
          <t>桃園市新屋區清華一街299號</t>
        </is>
      </c>
      <c r="G700" t="n">
        <v>24.968998</v>
      </c>
      <c r="H700" t="n">
        <v>121.117186</v>
      </c>
      <c r="I700" t="n">
        <v>8</v>
      </c>
      <c r="J700" t="n">
        <v>3</v>
      </c>
      <c r="K700" t="n">
        <v>263.2</v>
      </c>
      <c r="L700" t="inlineStr">
        <is>
          <t>Primary</t>
        </is>
      </c>
    </row>
    <row r="701">
      <c r="A701" t="n">
        <v>4</v>
      </c>
      <c r="B701" s="25" t="inlineStr">
        <is>
          <t>S05</t>
        </is>
      </c>
      <c r="C701" t="inlineStr">
        <is>
          <t>PZ-B</t>
        </is>
      </c>
      <c r="D701" t="n">
        <v>20</v>
      </c>
      <c r="E701" t="inlineStr">
        <is>
          <t>H0648</t>
        </is>
      </c>
      <c r="F701" t="inlineStr">
        <is>
          <t>桃園市新屋區長祥路837號</t>
        </is>
      </c>
      <c r="G701" t="n">
        <v>24.961544</v>
      </c>
      <c r="H701" t="n">
        <v>121.115311</v>
      </c>
      <c r="I701" t="n">
        <v>8</v>
      </c>
      <c r="J701" t="n">
        <v>3</v>
      </c>
      <c r="K701" t="n">
        <v>274.2</v>
      </c>
      <c r="L701" t="inlineStr">
        <is>
          <t>Primary</t>
        </is>
      </c>
    </row>
    <row r="702">
      <c r="A702" t="n">
        <v>4</v>
      </c>
      <c r="B702" s="25" t="inlineStr">
        <is>
          <t>S05</t>
        </is>
      </c>
      <c r="C702" t="inlineStr">
        <is>
          <t>PZ-B</t>
        </is>
      </c>
      <c r="D702" t="n">
        <v>21</v>
      </c>
      <c r="E702" t="inlineStr">
        <is>
          <t>H0656</t>
        </is>
      </c>
      <c r="F702" t="inlineStr">
        <is>
          <t>桃園市新屋區埔頂二路298巷33弄(活力農場)</t>
        </is>
      </c>
      <c r="G702" t="n">
        <v>24.954569</v>
      </c>
      <c r="H702" t="n">
        <v>121.105336</v>
      </c>
      <c r="I702" t="n">
        <v>8</v>
      </c>
      <c r="J702" t="n">
        <v>3</v>
      </c>
      <c r="K702" t="n">
        <v>285.2</v>
      </c>
      <c r="L702" t="inlineStr">
        <is>
          <t>Primary</t>
        </is>
      </c>
    </row>
    <row r="703">
      <c r="A703" t="n">
        <v>4</v>
      </c>
      <c r="B703" s="25" t="inlineStr">
        <is>
          <t>S05</t>
        </is>
      </c>
      <c r="C703" t="inlineStr">
        <is>
          <t>PZ-B</t>
        </is>
      </c>
      <c r="D703" t="n">
        <v>22</v>
      </c>
      <c r="E703" t="inlineStr">
        <is>
          <t>H0696</t>
        </is>
      </c>
      <c r="F703" t="inlineStr">
        <is>
          <t>桃園市楊梅區民有路二段206巷257號</t>
        </is>
      </c>
      <c r="G703" t="n">
        <v>24.953592</v>
      </c>
      <c r="H703" t="n">
        <v>121.095669</v>
      </c>
      <c r="I703" t="n">
        <v>8</v>
      </c>
      <c r="J703" t="n">
        <v>3</v>
      </c>
      <c r="K703" t="n">
        <v>296.2</v>
      </c>
      <c r="L703" t="inlineStr">
        <is>
          <t>Primary</t>
        </is>
      </c>
    </row>
    <row r="704">
      <c r="A704" t="n">
        <v>4</v>
      </c>
      <c r="B704" s="25" t="inlineStr">
        <is>
          <t>S05</t>
        </is>
      </c>
      <c r="C704" t="inlineStr">
        <is>
          <t>PZ-B</t>
        </is>
      </c>
      <c r="D704" t="n">
        <v>23</v>
      </c>
      <c r="E704" t="inlineStr">
        <is>
          <t>H0697</t>
        </is>
      </c>
      <c r="F704" t="inlineStr">
        <is>
          <t>桃園市楊梅區民有路二段445巷60號對面</t>
        </is>
      </c>
      <c r="G704" t="n">
        <v>24.946172</v>
      </c>
      <c r="H704" t="n">
        <v>121.094611</v>
      </c>
      <c r="I704" t="n">
        <v>8</v>
      </c>
      <c r="J704" t="n">
        <v>3</v>
      </c>
      <c r="K704" t="n">
        <v>307.2</v>
      </c>
      <c r="L704" t="inlineStr">
        <is>
          <t>Primary</t>
        </is>
      </c>
    </row>
    <row r="705">
      <c r="A705" t="n">
        <v>4</v>
      </c>
      <c r="B705" s="25" t="inlineStr">
        <is>
          <t>S05</t>
        </is>
      </c>
      <c r="C705" t="inlineStr">
        <is>
          <t>PZ-B</t>
        </is>
      </c>
      <c r="D705" t="n">
        <v>24</v>
      </c>
      <c r="E705" t="inlineStr">
        <is>
          <t>H0691</t>
        </is>
      </c>
      <c r="F705" t="inlineStr">
        <is>
          <t>桃園市楊梅區民生街375巷23號</t>
        </is>
      </c>
      <c r="G705" t="n">
        <v>24.944576</v>
      </c>
      <c r="H705" t="n">
        <v>121.0888015</v>
      </c>
      <c r="I705" t="n">
        <v>16</v>
      </c>
      <c r="J705" t="n">
        <v>3</v>
      </c>
      <c r="K705" t="n">
        <v>326.2</v>
      </c>
      <c r="L705" t="inlineStr">
        <is>
          <t>Primary</t>
        </is>
      </c>
    </row>
    <row r="706">
      <c r="A706" t="n">
        <v>4</v>
      </c>
      <c r="B706" s="25" t="inlineStr">
        <is>
          <t>S05</t>
        </is>
      </c>
      <c r="C706" t="inlineStr">
        <is>
          <t>PZ-B</t>
        </is>
      </c>
      <c r="D706" t="n">
        <v>25</v>
      </c>
      <c r="E706" t="inlineStr">
        <is>
          <t>H0752</t>
        </is>
      </c>
      <c r="F706" t="inlineStr">
        <is>
          <t>桃園市楊梅區新富七街(運動公園對面)</t>
        </is>
      </c>
      <c r="G706" t="n">
        <v>24.937989</v>
      </c>
      <c r="H706" t="n">
        <v>121.088944</v>
      </c>
      <c r="I706" t="n">
        <v>16</v>
      </c>
      <c r="J706" t="n">
        <v>3</v>
      </c>
      <c r="K706" t="n">
        <v>345.2</v>
      </c>
      <c r="L706" t="inlineStr">
        <is>
          <t>Primary</t>
        </is>
      </c>
    </row>
    <row r="707">
      <c r="A707" t="n">
        <v>4</v>
      </c>
      <c r="B707" s="25" t="inlineStr">
        <is>
          <t>S05</t>
        </is>
      </c>
      <c r="C707" t="inlineStr">
        <is>
          <t>PZ-B</t>
        </is>
      </c>
      <c r="D707" t="n">
        <v>26</v>
      </c>
      <c r="E707" t="inlineStr">
        <is>
          <t>H0701</t>
        </is>
      </c>
      <c r="F707" t="inlineStr">
        <is>
          <t>桃園市楊梅區民富路三段726號</t>
        </is>
      </c>
      <c r="G707" t="n">
        <v>24.934869</v>
      </c>
      <c r="H707" t="n">
        <v>121.089902</v>
      </c>
      <c r="I707" t="n">
        <v>8</v>
      </c>
      <c r="J707" t="n">
        <v>3</v>
      </c>
      <c r="K707" t="n">
        <v>356.2</v>
      </c>
      <c r="L707" t="inlineStr">
        <is>
          <t>Primary</t>
        </is>
      </c>
    </row>
    <row r="708">
      <c r="A708" t="n">
        <v>4</v>
      </c>
      <c r="B708" s="25" t="inlineStr">
        <is>
          <t>S05</t>
        </is>
      </c>
      <c r="C708" t="inlineStr">
        <is>
          <t>PZ-B</t>
        </is>
      </c>
      <c r="D708" t="n">
        <v>27</v>
      </c>
      <c r="E708" t="inlineStr">
        <is>
          <t>H0753</t>
        </is>
      </c>
      <c r="F708" t="inlineStr">
        <is>
          <t>桃園市楊梅區新富三街85號</t>
        </is>
      </c>
      <c r="G708" t="n">
        <v>24.9345</v>
      </c>
      <c r="H708" t="n">
        <v>121.0926</v>
      </c>
      <c r="I708" t="n">
        <v>8</v>
      </c>
      <c r="J708" t="n">
        <v>3</v>
      </c>
      <c r="K708" t="n">
        <v>367.2</v>
      </c>
      <c r="L708" t="inlineStr">
        <is>
          <t>Primary</t>
        </is>
      </c>
    </row>
    <row r="709">
      <c r="A709" t="n">
        <v>4</v>
      </c>
      <c r="B709" s="25" t="inlineStr">
        <is>
          <t>S05</t>
        </is>
      </c>
      <c r="C709" t="inlineStr">
        <is>
          <t>PZ-B</t>
        </is>
      </c>
      <c r="D709" t="n">
        <v>28</v>
      </c>
      <c r="E709" t="inlineStr">
        <is>
          <t>H0750</t>
        </is>
      </c>
      <c r="F709" t="inlineStr">
        <is>
          <t>桃園市楊梅區新明街149號對面</t>
        </is>
      </c>
      <c r="G709" t="n">
        <v>24.934352</v>
      </c>
      <c r="H709" t="n">
        <v>121.079678</v>
      </c>
      <c r="I709" t="n">
        <v>8</v>
      </c>
      <c r="J709" t="n">
        <v>3.1</v>
      </c>
      <c r="K709" t="n">
        <v>378.3</v>
      </c>
      <c r="L709" t="inlineStr">
        <is>
          <t>Primary</t>
        </is>
      </c>
    </row>
    <row r="710">
      <c r="A710" t="n">
        <v>4</v>
      </c>
      <c r="B710" s="25" t="inlineStr">
        <is>
          <t>S05</t>
        </is>
      </c>
      <c r="C710" t="inlineStr">
        <is>
          <t>PZ-B</t>
        </is>
      </c>
      <c r="D710" t="n">
        <v>29</v>
      </c>
      <c r="E710" t="inlineStr">
        <is>
          <t>H0747</t>
        </is>
      </c>
      <c r="F710" t="inlineStr">
        <is>
          <t>桃園市楊梅區富聯路275號隔壁</t>
        </is>
      </c>
      <c r="G710" t="n">
        <v>24.939664</v>
      </c>
      <c r="H710" t="n">
        <v>121.071839</v>
      </c>
      <c r="I710" t="n">
        <v>8</v>
      </c>
      <c r="J710" t="n">
        <v>3</v>
      </c>
      <c r="K710" t="n">
        <v>389.3</v>
      </c>
      <c r="L710" t="inlineStr">
        <is>
          <t>Primary</t>
        </is>
      </c>
    </row>
    <row r="711">
      <c r="A711" t="n">
        <v>4</v>
      </c>
      <c r="B711" s="25" t="inlineStr">
        <is>
          <t>S05</t>
        </is>
      </c>
      <c r="C711" t="inlineStr">
        <is>
          <t>PZ-B</t>
        </is>
      </c>
      <c r="D711" t="n">
        <v>30</v>
      </c>
      <c r="E711" t="inlineStr">
        <is>
          <t>H0677</t>
        </is>
      </c>
      <c r="F711" t="inlineStr">
        <is>
          <t>桃園市新屋區福隆路一段-附座標</t>
        </is>
      </c>
      <c r="G711" t="n">
        <v>24.9548765</v>
      </c>
      <c r="H711" t="n">
        <v>121.0592295</v>
      </c>
      <c r="I711" t="n">
        <v>16</v>
      </c>
      <c r="J711" t="n">
        <v>5.1</v>
      </c>
      <c r="K711" t="n">
        <v>410.4</v>
      </c>
      <c r="L711" t="inlineStr">
        <is>
          <t>Primary</t>
        </is>
      </c>
    </row>
    <row r="712">
      <c r="A712" t="n">
        <v>4</v>
      </c>
      <c r="B712" s="25" t="inlineStr">
        <is>
          <t>S05</t>
        </is>
      </c>
      <c r="C712" t="inlineStr">
        <is>
          <t>PZ-B</t>
        </is>
      </c>
      <c r="D712" t="n">
        <v>31</v>
      </c>
      <c r="E712" t="inlineStr">
        <is>
          <t>H0647</t>
        </is>
      </c>
      <c r="F712" t="inlineStr">
        <is>
          <t>桃園市新屋區社福路915號旁圍籬工地</t>
        </is>
      </c>
      <c r="G712" t="n">
        <v>24.963942</v>
      </c>
      <c r="H712" t="n">
        <v>121.063756</v>
      </c>
      <c r="I712" t="n">
        <v>8</v>
      </c>
      <c r="J712" t="n">
        <v>3</v>
      </c>
      <c r="K712" t="n">
        <v>421.4</v>
      </c>
      <c r="L712" t="inlineStr">
        <is>
          <t>Primary</t>
        </is>
      </c>
    </row>
    <row r="713">
      <c r="A713" t="n">
        <v>4</v>
      </c>
      <c r="B713" s="25" t="inlineStr">
        <is>
          <t>S05</t>
        </is>
      </c>
      <c r="C713" t="inlineStr">
        <is>
          <t>PZ-B</t>
        </is>
      </c>
      <c r="D713" t="n">
        <v>32</v>
      </c>
      <c r="E713" t="inlineStr">
        <is>
          <t>H0653</t>
        </is>
      </c>
      <c r="F713" t="inlineStr">
        <is>
          <t>桃園市新屋區保安路333巷21弄58號隔壁</t>
        </is>
      </c>
      <c r="G713" t="n">
        <v>24.968831</v>
      </c>
      <c r="H713" t="n">
        <v>121.050036</v>
      </c>
      <c r="I713" t="n">
        <v>8</v>
      </c>
      <c r="J713" t="n">
        <v>3.6</v>
      </c>
      <c r="K713" t="n">
        <v>433</v>
      </c>
      <c r="L713" t="inlineStr">
        <is>
          <t>Primary</t>
        </is>
      </c>
    </row>
    <row r="714">
      <c r="A714" t="n">
        <v>4</v>
      </c>
      <c r="B714" s="25" t="inlineStr">
        <is>
          <t>S05</t>
        </is>
      </c>
      <c r="C714" t="inlineStr">
        <is>
          <t>PZ-B</t>
        </is>
      </c>
      <c r="D714" t="n">
        <v>33</v>
      </c>
      <c r="E714" t="inlineStr">
        <is>
          <t>H0635</t>
        </is>
      </c>
      <c r="F714" t="inlineStr">
        <is>
          <t>桃園市新屋區民有二路2段-附座標</t>
        </is>
      </c>
      <c r="G714" t="n">
        <v>24.962075</v>
      </c>
      <c r="H714" t="n">
        <v>121.037689</v>
      </c>
      <c r="I714" t="n">
        <v>8</v>
      </c>
      <c r="J714" t="n">
        <v>3.5</v>
      </c>
      <c r="K714" t="n">
        <v>444.5</v>
      </c>
      <c r="L714" t="inlineStr">
        <is>
          <t>Primary</t>
        </is>
      </c>
    </row>
    <row r="715">
      <c r="A715" t="n">
        <v>4</v>
      </c>
      <c r="B715" s="25" t="inlineStr">
        <is>
          <t>S05</t>
        </is>
      </c>
      <c r="C715" t="inlineStr">
        <is>
          <t>PZ-B</t>
        </is>
      </c>
      <c r="D715" t="n">
        <v>34</v>
      </c>
      <c r="E715" t="inlineStr">
        <is>
          <t>H0673</t>
        </is>
      </c>
      <c r="F715" t="inlineStr">
        <is>
          <t>桃園市新屋區新湖路12號-附地標-電聯定位(望間里8鄰)</t>
        </is>
      </c>
      <c r="G715" t="n">
        <v>24.944816</v>
      </c>
      <c r="H715" t="n">
        <v>121.042266</v>
      </c>
      <c r="I715" t="n">
        <v>8</v>
      </c>
      <c r="J715" t="n">
        <v>4.7</v>
      </c>
      <c r="K715" t="n">
        <v>457.2</v>
      </c>
      <c r="L715" t="inlineStr">
        <is>
          <t>Primary</t>
        </is>
      </c>
    </row>
    <row r="716">
      <c r="A716" t="n">
        <v>4</v>
      </c>
      <c r="B716" s="25" t="inlineStr">
        <is>
          <t>S05</t>
        </is>
      </c>
      <c r="C716" t="inlineStr">
        <is>
          <t>PZ-B</t>
        </is>
      </c>
      <c r="D716" t="n">
        <v>35</v>
      </c>
      <c r="E716" t="inlineStr">
        <is>
          <t>H0672</t>
        </is>
      </c>
      <c r="F716" t="inlineStr">
        <is>
          <t>桃園市新屋區新湖路105巷20號-隔壁</t>
        </is>
      </c>
      <c r="G716" t="n">
        <v>24.945358</v>
      </c>
      <c r="H716" t="n">
        <v>121.047105</v>
      </c>
      <c r="I716" t="n">
        <v>8</v>
      </c>
      <c r="J716" t="n">
        <v>3</v>
      </c>
      <c r="K716" t="n">
        <v>468.2</v>
      </c>
      <c r="L716" t="inlineStr">
        <is>
          <t>Primary</t>
        </is>
      </c>
    </row>
    <row r="717">
      <c r="A717" t="n">
        <v>4</v>
      </c>
      <c r="B717" s="25" t="inlineStr">
        <is>
          <t>S05</t>
        </is>
      </c>
      <c r="C717" t="inlineStr">
        <is>
          <t>PZ-B</t>
        </is>
      </c>
      <c r="D717" t="n">
        <v>36</v>
      </c>
      <c r="E717" t="inlineStr">
        <is>
          <t>H0633</t>
        </is>
      </c>
      <c r="F717" t="inlineStr">
        <is>
          <t>桃園市新屋區文學路580號(3號咖啡)</t>
        </is>
      </c>
      <c r="G717" t="n">
        <v>24.973911</v>
      </c>
      <c r="H717" t="n">
        <v>121.016825</v>
      </c>
      <c r="I717" t="n">
        <v>8</v>
      </c>
      <c r="J717" t="n">
        <v>10.6</v>
      </c>
      <c r="K717" t="n">
        <v>486.8</v>
      </c>
      <c r="L717" t="inlineStr">
        <is>
          <t>Primary</t>
        </is>
      </c>
    </row>
    <row r="718">
      <c r="A718" t="n">
        <v>4</v>
      </c>
      <c r="B718" s="25" t="inlineStr">
        <is>
          <t>S05</t>
        </is>
      </c>
      <c r="C718" t="inlineStr">
        <is>
          <t>PZ-B</t>
        </is>
      </c>
      <c r="D718" t="n">
        <v>37</v>
      </c>
      <c r="E718" t="inlineStr">
        <is>
          <t>H0634</t>
        </is>
      </c>
      <c r="F718" t="inlineStr">
        <is>
          <t>桃園市新屋區台61縣301號附近-附地標</t>
        </is>
      </c>
      <c r="G718" t="n">
        <v>24.976178</v>
      </c>
      <c r="H718" t="n">
        <v>121.017853</v>
      </c>
      <c r="I718" t="n">
        <v>8</v>
      </c>
      <c r="J718" t="n">
        <v>3</v>
      </c>
      <c r="K718" t="n">
        <v>497.8</v>
      </c>
      <c r="L718" t="inlineStr">
        <is>
          <t>Primary</t>
        </is>
      </c>
    </row>
    <row r="719">
      <c r="A719" t="n">
        <v>4</v>
      </c>
      <c r="B719" s="25" t="inlineStr">
        <is>
          <t>S05</t>
        </is>
      </c>
      <c r="C719" t="inlineStr">
        <is>
          <t>PZ-B</t>
        </is>
      </c>
      <c r="D719" t="n">
        <v>38</v>
      </c>
      <c r="E719" t="inlineStr">
        <is>
          <t>H0638</t>
        </is>
      </c>
      <c r="F719" t="inlineStr">
        <is>
          <t>桃園市新屋區永福路686號旁工地</t>
        </is>
      </c>
      <c r="G719" t="n">
        <v>24.98473</v>
      </c>
      <c r="H719" t="n">
        <v>121.0334</v>
      </c>
      <c r="I719" t="n">
        <v>8</v>
      </c>
      <c r="J719" t="n">
        <v>4.4</v>
      </c>
      <c r="K719" t="n">
        <v>510.2</v>
      </c>
      <c r="L719" t="inlineStr">
        <is>
          <t>Primary</t>
        </is>
      </c>
    </row>
    <row r="720">
      <c r="A720" t="n">
        <v>5</v>
      </c>
      <c r="B720" s="25" t="inlineStr">
        <is>
          <t>S05</t>
        </is>
      </c>
      <c r="C720" t="inlineStr">
        <is>
          <t>PZ-B</t>
        </is>
      </c>
      <c r="D720" t="n">
        <v>1</v>
      </c>
      <c r="E720" t="inlineStr">
        <is>
          <t>H0390</t>
        </is>
      </c>
      <c r="F720" t="inlineStr">
        <is>
          <t>桃園市中壢區延平路622號</t>
        </is>
      </c>
      <c r="G720" t="n">
        <v>24.953847</v>
      </c>
      <c r="H720" t="n">
        <v>121.220689</v>
      </c>
      <c r="I720" t="n">
        <v>16</v>
      </c>
      <c r="J720" t="n">
        <v>12.6</v>
      </c>
      <c r="K720" t="n">
        <v>28.6</v>
      </c>
      <c r="L720" t="inlineStr">
        <is>
          <t>Primary</t>
        </is>
      </c>
    </row>
    <row r="721">
      <c r="A721" t="n">
        <v>5</v>
      </c>
      <c r="B721" s="25" t="inlineStr">
        <is>
          <t>S05</t>
        </is>
      </c>
      <c r="C721" t="inlineStr">
        <is>
          <t>PZ-B</t>
        </is>
      </c>
      <c r="D721" t="n">
        <v>2</v>
      </c>
      <c r="E721" t="inlineStr">
        <is>
          <t>H0418</t>
        </is>
      </c>
      <c r="F721" t="inlineStr">
        <is>
          <t>桃園市中壢區建國路36號(中壢郵局)-電聯定位</t>
        </is>
      </c>
      <c r="G721" t="n">
        <v>24.955194</v>
      </c>
      <c r="H721" t="n">
        <v>121.225164</v>
      </c>
      <c r="I721" t="n">
        <v>8</v>
      </c>
      <c r="J721" t="n">
        <v>3</v>
      </c>
      <c r="K721" t="n">
        <v>39.6</v>
      </c>
      <c r="L721" t="inlineStr">
        <is>
          <t>Primary</t>
        </is>
      </c>
    </row>
    <row r="722">
      <c r="A722" t="n">
        <v>5</v>
      </c>
      <c r="B722" s="25" t="inlineStr">
        <is>
          <t>S05</t>
        </is>
      </c>
      <c r="C722" t="inlineStr">
        <is>
          <t>PZ-B</t>
        </is>
      </c>
      <c r="D722" t="n">
        <v>3</v>
      </c>
      <c r="E722" t="inlineStr">
        <is>
          <t>H0331</t>
        </is>
      </c>
      <c r="F722" t="inlineStr">
        <is>
          <t>桃園市中壢區八德路20號</t>
        </is>
      </c>
      <c r="G722" t="n">
        <v>24.959653</v>
      </c>
      <c r="H722" t="n">
        <v>121.22995</v>
      </c>
      <c r="I722" t="n">
        <v>8</v>
      </c>
      <c r="J722" t="n">
        <v>3</v>
      </c>
      <c r="K722" t="n">
        <v>50.6</v>
      </c>
      <c r="L722" t="inlineStr">
        <is>
          <t>Primary</t>
        </is>
      </c>
    </row>
    <row r="723">
      <c r="A723" t="n">
        <v>5</v>
      </c>
      <c r="B723" s="25" t="inlineStr">
        <is>
          <t>S05</t>
        </is>
      </c>
      <c r="C723" t="inlineStr">
        <is>
          <t>PZ-B</t>
        </is>
      </c>
      <c r="D723" t="n">
        <v>4</v>
      </c>
      <c r="E723" t="inlineStr">
        <is>
          <t>H0349</t>
        </is>
      </c>
      <c r="F723" t="inlineStr">
        <is>
          <t>桃園市中壢區中華路二段560號旁</t>
        </is>
      </c>
      <c r="G723" t="n">
        <v>24.962608</v>
      </c>
      <c r="H723" t="n">
        <v>121.23097</v>
      </c>
      <c r="I723" t="n">
        <v>8</v>
      </c>
      <c r="J723" t="n">
        <v>3</v>
      </c>
      <c r="K723" t="n">
        <v>61.6</v>
      </c>
      <c r="L723" t="inlineStr">
        <is>
          <t>Primary</t>
        </is>
      </c>
    </row>
    <row r="724">
      <c r="A724" t="n">
        <v>5</v>
      </c>
      <c r="B724" s="25" t="inlineStr">
        <is>
          <t>S05</t>
        </is>
      </c>
      <c r="C724" t="inlineStr">
        <is>
          <t>PZ-B</t>
        </is>
      </c>
      <c r="D724" t="n">
        <v>5</v>
      </c>
      <c r="E724" t="inlineStr">
        <is>
          <t>H0458</t>
        </is>
      </c>
      <c r="F724" t="inlineStr">
        <is>
          <t>桃園市中壢區福星五街58號</t>
        </is>
      </c>
      <c r="G724" t="n">
        <v>24.965772</v>
      </c>
      <c r="H724" t="n">
        <v>121.231184</v>
      </c>
      <c r="I724" t="n">
        <v>8</v>
      </c>
      <c r="J724" t="n">
        <v>3</v>
      </c>
      <c r="K724" t="n">
        <v>72.59999999999999</v>
      </c>
      <c r="L724" t="inlineStr">
        <is>
          <t>Primary</t>
        </is>
      </c>
    </row>
    <row r="725">
      <c r="A725" t="n">
        <v>5</v>
      </c>
      <c r="B725" s="25" t="inlineStr">
        <is>
          <t>S05</t>
        </is>
      </c>
      <c r="C725" t="inlineStr">
        <is>
          <t>PZ-B</t>
        </is>
      </c>
      <c r="D725" t="n">
        <v>6</v>
      </c>
      <c r="E725" t="inlineStr">
        <is>
          <t>H0442</t>
        </is>
      </c>
      <c r="F725" t="inlineStr">
        <is>
          <t>桃園市中壢區新生路548巷工地大門-帶到中福路5號洗車台</t>
        </is>
      </c>
      <c r="G725" t="n">
        <v>24.969303</v>
      </c>
      <c r="H725" t="n">
        <v>121.229561</v>
      </c>
      <c r="I725" t="n">
        <v>8</v>
      </c>
      <c r="J725" t="n">
        <v>3</v>
      </c>
      <c r="K725" t="n">
        <v>83.59999999999999</v>
      </c>
      <c r="L725" t="inlineStr">
        <is>
          <t>Primary</t>
        </is>
      </c>
    </row>
    <row r="726">
      <c r="A726" t="n">
        <v>5</v>
      </c>
      <c r="B726" s="25" t="inlineStr">
        <is>
          <t>S05</t>
        </is>
      </c>
      <c r="C726" t="inlineStr">
        <is>
          <t>PZ-B</t>
        </is>
      </c>
      <c r="D726" t="n">
        <v>7</v>
      </c>
      <c r="E726" t="inlineStr">
        <is>
          <t>H0351</t>
        </is>
      </c>
      <c r="F726" t="inlineStr">
        <is>
          <t>桃園市中壢區中福路349巷67弄15號附近(工務所)</t>
        </is>
      </c>
      <c r="G726" t="n">
        <v>24.968478</v>
      </c>
      <c r="H726" t="n">
        <v>121.226956</v>
      </c>
      <c r="I726" t="n">
        <v>8</v>
      </c>
      <c r="J726" t="n">
        <v>3</v>
      </c>
      <c r="K726" t="n">
        <v>94.59999999999999</v>
      </c>
      <c r="L726" t="inlineStr">
        <is>
          <t>Primary</t>
        </is>
      </c>
    </row>
    <row r="727">
      <c r="A727" t="n">
        <v>5</v>
      </c>
      <c r="B727" s="25" t="inlineStr">
        <is>
          <t>S05</t>
        </is>
      </c>
      <c r="C727" t="inlineStr">
        <is>
          <t>PZ-B</t>
        </is>
      </c>
      <c r="D727" t="n">
        <v>8</v>
      </c>
      <c r="E727" t="inlineStr">
        <is>
          <t>H0430</t>
        </is>
      </c>
      <c r="F727" t="inlineStr">
        <is>
          <t>桃園市中壢區培英路437號</t>
        </is>
      </c>
      <c r="G727" t="n">
        <v>24.978436</v>
      </c>
      <c r="H727" t="n">
        <v>121.228339</v>
      </c>
      <c r="I727" t="n">
        <v>24</v>
      </c>
      <c r="J727" t="n">
        <v>3</v>
      </c>
      <c r="K727" t="n">
        <v>121.6</v>
      </c>
      <c r="L727" t="inlineStr">
        <is>
          <t>Primary</t>
        </is>
      </c>
    </row>
    <row r="728">
      <c r="A728" t="n">
        <v>5</v>
      </c>
      <c r="B728" s="25" t="inlineStr">
        <is>
          <t>S05</t>
        </is>
      </c>
      <c r="C728" t="inlineStr">
        <is>
          <t>PZ-B</t>
        </is>
      </c>
      <c r="D728" t="n">
        <v>9</v>
      </c>
      <c r="E728" t="inlineStr">
        <is>
          <t>H0447</t>
        </is>
      </c>
      <c r="F728" t="inlineStr">
        <is>
          <t>桃園市中壢區新生路二段273號</t>
        </is>
      </c>
      <c r="G728" t="n">
        <v>24.9812405</v>
      </c>
      <c r="H728" t="n">
        <v>121.2226535</v>
      </c>
      <c r="I728" t="n">
        <v>16</v>
      </c>
      <c r="J728" t="n">
        <v>3</v>
      </c>
      <c r="K728" t="n">
        <v>140.6</v>
      </c>
      <c r="L728" t="inlineStr">
        <is>
          <t>Primary</t>
        </is>
      </c>
    </row>
    <row r="729">
      <c r="A729" t="n">
        <v>5</v>
      </c>
      <c r="B729" s="25" t="inlineStr">
        <is>
          <t>S05</t>
        </is>
      </c>
      <c r="C729" t="inlineStr">
        <is>
          <t>PZ-B</t>
        </is>
      </c>
      <c r="D729" t="n">
        <v>10</v>
      </c>
      <c r="E729" t="inlineStr">
        <is>
          <t>H0467</t>
        </is>
      </c>
      <c r="F729" t="inlineStr">
        <is>
          <t>桃園市中壢區興東路300巷36-5號</t>
        </is>
      </c>
      <c r="G729" t="n">
        <v>24.981495</v>
      </c>
      <c r="H729" t="n">
        <v>121.220698</v>
      </c>
      <c r="I729" t="n">
        <v>16</v>
      </c>
      <c r="J729" t="n">
        <v>3</v>
      </c>
      <c r="K729" t="n">
        <v>159.6</v>
      </c>
      <c r="L729" t="inlineStr">
        <is>
          <t>Primary</t>
        </is>
      </c>
    </row>
    <row r="730">
      <c r="A730" t="n">
        <v>5</v>
      </c>
      <c r="B730" s="25" t="inlineStr">
        <is>
          <t>S05</t>
        </is>
      </c>
      <c r="C730" t="inlineStr">
        <is>
          <t>PZ-B</t>
        </is>
      </c>
      <c r="D730" t="n">
        <v>11</v>
      </c>
      <c r="E730" t="inlineStr">
        <is>
          <t>H0466</t>
        </is>
      </c>
      <c r="F730" t="inlineStr">
        <is>
          <t>桃園市中壢區興東路&amp;興北二路交叉口</t>
        </is>
      </c>
      <c r="G730" t="n">
        <v>24.983323</v>
      </c>
      <c r="H730" t="n">
        <v>121.219753</v>
      </c>
      <c r="I730" t="n">
        <v>8</v>
      </c>
      <c r="J730" t="n">
        <v>3</v>
      </c>
      <c r="K730" t="n">
        <v>170.6</v>
      </c>
      <c r="L730" t="inlineStr">
        <is>
          <t>Primary</t>
        </is>
      </c>
    </row>
    <row r="731">
      <c r="A731" t="n">
        <v>5</v>
      </c>
      <c r="B731" s="25" t="inlineStr">
        <is>
          <t>S05</t>
        </is>
      </c>
      <c r="C731" t="inlineStr">
        <is>
          <t>PZ-B</t>
        </is>
      </c>
      <c r="D731" t="n">
        <v>12</v>
      </c>
      <c r="E731" t="inlineStr">
        <is>
          <t>H0354</t>
        </is>
      </c>
      <c r="F731" t="inlineStr">
        <is>
          <t>桃園市中壢區中豐北路一段685號-A20興南站</t>
        </is>
      </c>
      <c r="G731" t="n">
        <v>24.983181</v>
      </c>
      <c r="H731" t="n">
        <v>121.217075</v>
      </c>
      <c r="I731" t="n">
        <v>16</v>
      </c>
      <c r="J731" t="n">
        <v>3</v>
      </c>
      <c r="K731" t="n">
        <v>189.6</v>
      </c>
      <c r="L731" t="inlineStr">
        <is>
          <t>Primary</t>
        </is>
      </c>
    </row>
    <row r="732">
      <c r="A732" t="n">
        <v>5</v>
      </c>
      <c r="B732" s="25" t="inlineStr">
        <is>
          <t>S05</t>
        </is>
      </c>
      <c r="C732" t="inlineStr">
        <is>
          <t>PZ-B</t>
        </is>
      </c>
      <c r="D732" t="n">
        <v>13</v>
      </c>
      <c r="E732" t="inlineStr">
        <is>
          <t>H0355</t>
        </is>
      </c>
      <c r="F732" t="inlineStr">
        <is>
          <t>桃園市中壢區中豐北路一段736巷28號</t>
        </is>
      </c>
      <c r="G732" t="n">
        <v>24.978661</v>
      </c>
      <c r="H732" t="n">
        <v>121.219023</v>
      </c>
      <c r="I732" t="n">
        <v>8</v>
      </c>
      <c r="J732" t="n">
        <v>3</v>
      </c>
      <c r="K732" t="n">
        <v>200.6</v>
      </c>
      <c r="L732" t="inlineStr">
        <is>
          <t>Primary</t>
        </is>
      </c>
    </row>
    <row r="733">
      <c r="A733" t="n">
        <v>5</v>
      </c>
      <c r="B733" s="25" t="inlineStr">
        <is>
          <t>S05</t>
        </is>
      </c>
      <c r="C733" t="inlineStr">
        <is>
          <t>PZ-B</t>
        </is>
      </c>
      <c r="D733" t="n">
        <v>14</v>
      </c>
      <c r="E733" t="inlineStr">
        <is>
          <t>H0448</t>
        </is>
      </c>
      <c r="F733" t="inlineStr">
        <is>
          <t>桃園市中壢區新生路二段323號旁</t>
        </is>
      </c>
      <c r="G733" t="n">
        <v>24.98307</v>
      </c>
      <c r="H733" t="n">
        <v>121.222589</v>
      </c>
      <c r="I733" t="n">
        <v>8</v>
      </c>
      <c r="J733" t="n">
        <v>3</v>
      </c>
      <c r="K733" t="n">
        <v>211.6</v>
      </c>
      <c r="L733" t="inlineStr">
        <is>
          <t>Primary</t>
        </is>
      </c>
    </row>
    <row r="734">
      <c r="A734" t="n">
        <v>5</v>
      </c>
      <c r="B734" s="25" t="inlineStr">
        <is>
          <t>S05</t>
        </is>
      </c>
      <c r="C734" t="inlineStr">
        <is>
          <t>PZ-B</t>
        </is>
      </c>
      <c r="D734" t="n">
        <v>15</v>
      </c>
      <c r="E734" t="inlineStr">
        <is>
          <t>H0394</t>
        </is>
      </c>
      <c r="F734" t="inlineStr">
        <is>
          <t>桃園市中壢區東芝路123巷32號</t>
        </is>
      </c>
      <c r="G734" t="n">
        <v>24.998239</v>
      </c>
      <c r="H734" t="n">
        <v>121.211083</v>
      </c>
      <c r="I734" t="n">
        <v>16</v>
      </c>
      <c r="J734" t="n">
        <v>4.9</v>
      </c>
      <c r="K734" t="n">
        <v>232.6</v>
      </c>
      <c r="L734" t="inlineStr">
        <is>
          <t>Primary</t>
        </is>
      </c>
    </row>
    <row r="735">
      <c r="A735" t="n">
        <v>5</v>
      </c>
      <c r="B735" s="25" t="inlineStr">
        <is>
          <t>S05</t>
        </is>
      </c>
      <c r="C735" t="inlineStr">
        <is>
          <t>PZ-B</t>
        </is>
      </c>
      <c r="D735" t="n">
        <v>16</v>
      </c>
      <c r="E735" t="inlineStr">
        <is>
          <t>H0462</t>
        </is>
      </c>
      <c r="F735" t="inlineStr">
        <is>
          <t>桃園市中壢區領航南路一段&amp;文昌路交叉口</t>
        </is>
      </c>
      <c r="G735" t="n">
        <v>25.00092075</v>
      </c>
      <c r="H735" t="n">
        <v>121.20961875</v>
      </c>
      <c r="I735" t="n">
        <v>32</v>
      </c>
      <c r="J735" t="n">
        <v>3</v>
      </c>
      <c r="K735" t="n">
        <v>267.6</v>
      </c>
      <c r="L735" t="inlineStr">
        <is>
          <t>Primary</t>
        </is>
      </c>
    </row>
    <row r="736">
      <c r="A736" t="n">
        <v>5</v>
      </c>
      <c r="B736" s="25" t="inlineStr">
        <is>
          <t>S05</t>
        </is>
      </c>
      <c r="C736" t="inlineStr">
        <is>
          <t>PZ-B</t>
        </is>
      </c>
      <c r="D736" t="n">
        <v>17</v>
      </c>
      <c r="E736" t="inlineStr">
        <is>
          <t>H0364</t>
        </is>
      </c>
      <c r="F736" t="inlineStr">
        <is>
          <t>桃園市中壢區文智路181號對面</t>
        </is>
      </c>
      <c r="G736" t="n">
        <v>25.0019</v>
      </c>
      <c r="H736" t="n">
        <v>121.209592</v>
      </c>
      <c r="I736" t="n">
        <v>8</v>
      </c>
      <c r="J736" t="n">
        <v>3</v>
      </c>
      <c r="K736" t="n">
        <v>278.6</v>
      </c>
      <c r="L736" t="inlineStr">
        <is>
          <t>Primary</t>
        </is>
      </c>
    </row>
    <row r="737">
      <c r="A737" t="n">
        <v>5</v>
      </c>
      <c r="B737" s="25" t="inlineStr">
        <is>
          <t>S05</t>
        </is>
      </c>
      <c r="C737" t="inlineStr">
        <is>
          <t>PZ-B</t>
        </is>
      </c>
      <c r="D737" t="n">
        <v>18</v>
      </c>
      <c r="E737" t="inlineStr">
        <is>
          <t>H0058</t>
        </is>
      </c>
      <c r="F737" t="inlineStr">
        <is>
          <t>桃園市大園區(中壢區)致維街&amp;公園路一段路口</t>
        </is>
      </c>
      <c r="G737" t="n">
        <v>25.003938</v>
      </c>
      <c r="H737" t="n">
        <v>121.2116967</v>
      </c>
      <c r="I737" t="n">
        <v>40</v>
      </c>
      <c r="J737" t="n">
        <v>3</v>
      </c>
      <c r="K737" t="n">
        <v>321.6</v>
      </c>
      <c r="L737" t="inlineStr">
        <is>
          <t>Primary</t>
        </is>
      </c>
    </row>
    <row r="738">
      <c r="A738" t="n">
        <v>5</v>
      </c>
      <c r="B738" s="25" t="inlineStr">
        <is>
          <t>S05</t>
        </is>
      </c>
      <c r="C738" t="inlineStr">
        <is>
          <t>PZ-B</t>
        </is>
      </c>
      <c r="D738" t="n">
        <v>19</v>
      </c>
      <c r="E738" t="inlineStr">
        <is>
          <t>H0058</t>
        </is>
      </c>
      <c r="F738" t="inlineStr">
        <is>
          <t>桃園市大園區(中壢區)致維街&amp;公園路一段路口</t>
        </is>
      </c>
      <c r="G738" t="n">
        <v>25.003614</v>
      </c>
      <c r="H738" t="n">
        <v>121.213042</v>
      </c>
      <c r="I738" t="n">
        <v>40</v>
      </c>
      <c r="J738" t="n">
        <v>3</v>
      </c>
      <c r="K738" t="n">
        <v>364.6</v>
      </c>
      <c r="L738" t="inlineStr">
        <is>
          <t>Primary</t>
        </is>
      </c>
    </row>
    <row r="739">
      <c r="A739" t="n">
        <v>5</v>
      </c>
      <c r="B739" s="25" t="inlineStr">
        <is>
          <t>S05</t>
        </is>
      </c>
      <c r="C739" t="inlineStr">
        <is>
          <t>PZ-B</t>
        </is>
      </c>
      <c r="D739" t="n">
        <v>20</v>
      </c>
      <c r="E739" t="inlineStr">
        <is>
          <t>H0461</t>
        </is>
      </c>
      <c r="F739" t="inlineStr">
        <is>
          <t>桃園市中壢區領航南路２段與青埔路交岔口</t>
        </is>
      </c>
      <c r="G739" t="n">
        <v>25.0056575</v>
      </c>
      <c r="H739" t="n">
        <v>121.2151643</v>
      </c>
      <c r="I739" t="n">
        <v>32</v>
      </c>
      <c r="J739" t="n">
        <v>3</v>
      </c>
      <c r="K739" t="n">
        <v>399.6</v>
      </c>
      <c r="L739" t="inlineStr">
        <is>
          <t>Primary</t>
        </is>
      </c>
    </row>
    <row r="740">
      <c r="A740" t="n">
        <v>5</v>
      </c>
      <c r="B740" s="25" t="inlineStr">
        <is>
          <t>S05</t>
        </is>
      </c>
      <c r="C740" t="inlineStr">
        <is>
          <t>PZ-B</t>
        </is>
      </c>
      <c r="D740" t="n">
        <v>21</v>
      </c>
      <c r="E740" t="inlineStr">
        <is>
          <t>H0449</t>
        </is>
      </c>
      <c r="F740" t="inlineStr">
        <is>
          <t>桃園市中壢區新生路四段112號</t>
        </is>
      </c>
      <c r="G740" t="n">
        <v>25.007067</v>
      </c>
      <c r="H740" t="n">
        <v>121.214067</v>
      </c>
      <c r="I740" t="n">
        <v>16</v>
      </c>
      <c r="J740" t="n">
        <v>3</v>
      </c>
      <c r="K740" t="n">
        <v>418.6</v>
      </c>
      <c r="L740" t="inlineStr">
        <is>
          <t>Primary</t>
        </is>
      </c>
    </row>
    <row r="741">
      <c r="A741" t="n">
        <v>5</v>
      </c>
      <c r="B741" s="25" t="inlineStr">
        <is>
          <t>S05</t>
        </is>
      </c>
      <c r="C741" t="inlineStr">
        <is>
          <t>PZ-B</t>
        </is>
      </c>
      <c r="D741" t="n">
        <v>22</v>
      </c>
      <c r="E741" t="inlineStr">
        <is>
          <t>H0057</t>
        </is>
      </c>
      <c r="F741" t="inlineStr">
        <is>
          <t>桃園市大園區(中壢區)致祥三街58號</t>
        </is>
      </c>
      <c r="G741" t="n">
        <v>25.007708</v>
      </c>
      <c r="H741" t="n">
        <v>121.212144</v>
      </c>
      <c r="I741" t="n">
        <v>16</v>
      </c>
      <c r="J741" t="n">
        <v>3</v>
      </c>
      <c r="K741" t="n">
        <v>437.6</v>
      </c>
      <c r="L741" t="inlineStr">
        <is>
          <t>Primary</t>
        </is>
      </c>
    </row>
    <row r="742">
      <c r="A742" t="n">
        <v>5</v>
      </c>
      <c r="B742" s="25" t="inlineStr">
        <is>
          <t>S05</t>
        </is>
      </c>
      <c r="C742" t="inlineStr">
        <is>
          <t>PZ-B</t>
        </is>
      </c>
      <c r="D742" t="n">
        <v>23</v>
      </c>
      <c r="E742" t="inlineStr">
        <is>
          <t>H0421</t>
        </is>
      </c>
      <c r="F742" t="inlineStr">
        <is>
          <t>桃園市中壢區致祥一街&amp;新生路交叉口工地</t>
        </is>
      </c>
      <c r="G742" t="n">
        <v>25.009858</v>
      </c>
      <c r="H742" t="n">
        <v>121.212203</v>
      </c>
      <c r="I742" t="n">
        <v>48</v>
      </c>
      <c r="J742" t="n">
        <v>3</v>
      </c>
      <c r="K742" t="n">
        <v>488.6</v>
      </c>
      <c r="L742" t="inlineStr">
        <is>
          <t>Primary</t>
        </is>
      </c>
    </row>
    <row r="743">
      <c r="A743" t="n">
        <v>5</v>
      </c>
      <c r="B743" s="25" t="inlineStr">
        <is>
          <t>S05</t>
        </is>
      </c>
      <c r="C743" t="inlineStr">
        <is>
          <t>PZ-B</t>
        </is>
      </c>
      <c r="D743" t="n">
        <v>24</v>
      </c>
      <c r="E743" t="inlineStr">
        <is>
          <t>H0413</t>
        </is>
      </c>
      <c r="F743" t="inlineStr">
        <is>
          <t>桃園市中壢區青園路&amp;青境路口(第四停車場旁)</t>
        </is>
      </c>
      <c r="G743" t="n">
        <v>25.00860666666667</v>
      </c>
      <c r="H743" t="n">
        <v>121.216691</v>
      </c>
      <c r="I743" t="n">
        <v>24</v>
      </c>
      <c r="J743" t="n">
        <v>3</v>
      </c>
      <c r="K743" t="n">
        <v>515.6</v>
      </c>
      <c r="L743" t="inlineStr">
        <is>
          <t>Primary</t>
        </is>
      </c>
    </row>
    <row r="744">
      <c r="A744" t="n">
        <v>5</v>
      </c>
      <c r="B744" s="25" t="inlineStr">
        <is>
          <t>S05</t>
        </is>
      </c>
      <c r="C744" t="inlineStr">
        <is>
          <t>PZ-B</t>
        </is>
      </c>
      <c r="D744" t="n">
        <v>25</v>
      </c>
      <c r="E744" t="inlineStr">
        <is>
          <t>H0410</t>
        </is>
      </c>
      <c r="F744" t="inlineStr">
        <is>
          <t>桃園市中壢區青埔路二段&amp;青商路三段交叉口</t>
        </is>
      </c>
      <c r="G744" t="n">
        <v>25.006161</v>
      </c>
      <c r="H744" t="n">
        <v>121.217578</v>
      </c>
      <c r="I744" t="n">
        <v>8</v>
      </c>
      <c r="J744" t="n">
        <v>3</v>
      </c>
      <c r="K744" t="n">
        <v>526.6</v>
      </c>
      <c r="L744" t="inlineStr">
        <is>
          <t>Primary</t>
        </is>
      </c>
    </row>
    <row r="745">
      <c r="A745" t="n">
        <v>6</v>
      </c>
      <c r="B745" s="25" t="inlineStr">
        <is>
          <t>S05</t>
        </is>
      </c>
      <c r="C745" t="inlineStr">
        <is>
          <t>PZ-B</t>
        </is>
      </c>
      <c r="D745" t="n">
        <v>1</v>
      </c>
      <c r="E745" t="inlineStr">
        <is>
          <t>H0480</t>
        </is>
      </c>
      <c r="F745" t="inlineStr">
        <is>
          <t>桃園市平鎮區(中壢區)民族路三段275號旁</t>
        </is>
      </c>
      <c r="G745" t="n">
        <v>24.957781</v>
      </c>
      <c r="H745" t="n">
        <v>121.192161</v>
      </c>
      <c r="I745" t="n">
        <v>8</v>
      </c>
      <c r="J745" t="n">
        <v>16</v>
      </c>
      <c r="K745" t="n">
        <v>24</v>
      </c>
      <c r="L745" t="inlineStr">
        <is>
          <t>Primary</t>
        </is>
      </c>
    </row>
    <row r="746">
      <c r="A746" t="n">
        <v>6</v>
      </c>
      <c r="B746" s="25" t="inlineStr">
        <is>
          <t>S05</t>
        </is>
      </c>
      <c r="C746" t="inlineStr">
        <is>
          <t>PZ-B</t>
        </is>
      </c>
      <c r="D746" t="n">
        <v>2</v>
      </c>
      <c r="E746" t="inlineStr">
        <is>
          <t>H0365</t>
        </is>
      </c>
      <c r="F746" t="inlineStr">
        <is>
          <t>桃園市中壢區文德路與高鐵南路二段交叉口-電聯定位</t>
        </is>
      </c>
      <c r="G746" t="n">
        <v>25.003103</v>
      </c>
      <c r="H746" t="n">
        <v>121.206689</v>
      </c>
      <c r="I746" t="n">
        <v>32</v>
      </c>
      <c r="J746" t="n">
        <v>12.6</v>
      </c>
      <c r="K746" t="n">
        <v>68.59999999999999</v>
      </c>
      <c r="L746" t="inlineStr">
        <is>
          <t>Primary</t>
        </is>
      </c>
    </row>
    <row r="747">
      <c r="A747" t="n">
        <v>6</v>
      </c>
      <c r="B747" s="25" t="inlineStr">
        <is>
          <t>S05</t>
        </is>
      </c>
      <c r="C747" t="inlineStr">
        <is>
          <t>PZ-B</t>
        </is>
      </c>
      <c r="D747" t="n">
        <v>3</v>
      </c>
      <c r="E747" t="inlineStr">
        <is>
          <t>H0362</t>
        </is>
      </c>
      <c r="F747" t="inlineStr">
        <is>
          <t>桃園市中壢區公園路二段206號旁</t>
        </is>
      </c>
      <c r="G747" t="n">
        <v>25.008522</v>
      </c>
      <c r="H747" t="n">
        <v>121.204922</v>
      </c>
      <c r="I747" t="n">
        <v>8</v>
      </c>
      <c r="J747" t="n">
        <v>3</v>
      </c>
      <c r="K747" t="n">
        <v>79.59999999999999</v>
      </c>
      <c r="L747" t="inlineStr">
        <is>
          <t>Primary</t>
        </is>
      </c>
    </row>
    <row r="748">
      <c r="A748" t="n">
        <v>6</v>
      </c>
      <c r="B748" s="25" t="inlineStr">
        <is>
          <t>S05</t>
        </is>
      </c>
      <c r="C748" t="inlineStr">
        <is>
          <t>PZ-B</t>
        </is>
      </c>
      <c r="D748" t="n">
        <v>4</v>
      </c>
      <c r="E748" t="inlineStr">
        <is>
          <t>H0375</t>
        </is>
      </c>
      <c r="F748" t="inlineStr">
        <is>
          <t>桃園市中壢區永明街66號</t>
        </is>
      </c>
      <c r="G748" t="n">
        <v>25.0108</v>
      </c>
      <c r="H748" t="n">
        <v>121.201864</v>
      </c>
      <c r="I748" t="n">
        <v>8</v>
      </c>
      <c r="J748" t="n">
        <v>3</v>
      </c>
      <c r="K748" t="n">
        <v>90.59999999999999</v>
      </c>
      <c r="L748" t="inlineStr">
        <is>
          <t>Primary</t>
        </is>
      </c>
    </row>
    <row r="749">
      <c r="A749" t="n">
        <v>6</v>
      </c>
      <c r="B749" s="25" t="inlineStr">
        <is>
          <t>S05</t>
        </is>
      </c>
      <c r="C749" t="inlineStr">
        <is>
          <t>PZ-B</t>
        </is>
      </c>
      <c r="D749" t="n">
        <v>5</v>
      </c>
      <c r="E749" t="inlineStr">
        <is>
          <t>H0461</t>
        </is>
      </c>
      <c r="F749" t="inlineStr">
        <is>
          <t>桃園市中壢區領航南路２段與青埔路交岔口</t>
        </is>
      </c>
      <c r="G749" t="n">
        <v>25.007978</v>
      </c>
      <c r="H749" t="n">
        <v>121.217006</v>
      </c>
      <c r="I749" t="n">
        <v>32</v>
      </c>
      <c r="J749" t="n">
        <v>3.7</v>
      </c>
      <c r="K749" t="n">
        <v>126.3</v>
      </c>
      <c r="L749" t="inlineStr">
        <is>
          <t>Primary</t>
        </is>
      </c>
    </row>
    <row r="750">
      <c r="A750" t="n">
        <v>6</v>
      </c>
      <c r="B750" s="25" t="inlineStr">
        <is>
          <t>S05</t>
        </is>
      </c>
      <c r="C750" t="inlineStr">
        <is>
          <t>PZ-B</t>
        </is>
      </c>
      <c r="D750" t="n">
        <v>6</v>
      </c>
      <c r="E750" t="inlineStr">
        <is>
          <t>H0405</t>
        </is>
      </c>
      <c r="F750" t="inlineStr">
        <is>
          <t>桃園市中壢區青埔三街53號旁</t>
        </is>
      </c>
      <c r="G750" t="n">
        <v>25.005722</v>
      </c>
      <c r="H750" t="n">
        <v>121.219553</v>
      </c>
      <c r="I750" t="n">
        <v>8</v>
      </c>
      <c r="J750" t="n">
        <v>3</v>
      </c>
      <c r="K750" t="n">
        <v>137.3</v>
      </c>
      <c r="L750" t="inlineStr">
        <is>
          <t>Primary</t>
        </is>
      </c>
    </row>
    <row r="751">
      <c r="A751" t="n">
        <v>6</v>
      </c>
      <c r="B751" s="25" t="inlineStr">
        <is>
          <t>S05</t>
        </is>
      </c>
      <c r="C751" t="inlineStr">
        <is>
          <t>PZ-B</t>
        </is>
      </c>
      <c r="D751" t="n">
        <v>7</v>
      </c>
      <c r="E751" t="inlineStr">
        <is>
          <t>H0406</t>
        </is>
      </c>
      <c r="F751" t="inlineStr">
        <is>
          <t>桃園市中壢區青埔三街85號旁工地</t>
        </is>
      </c>
      <c r="G751" t="n">
        <v>25.006011</v>
      </c>
      <c r="H751" t="n">
        <v>121.219839</v>
      </c>
      <c r="I751" t="n">
        <v>8</v>
      </c>
      <c r="J751" t="n">
        <v>2</v>
      </c>
      <c r="K751" t="n">
        <v>147.3</v>
      </c>
      <c r="L751" t="inlineStr">
        <is>
          <t>Primary</t>
        </is>
      </c>
    </row>
    <row r="752">
      <c r="A752" t="n">
        <v>6</v>
      </c>
      <c r="B752" s="25" t="inlineStr">
        <is>
          <t>S05</t>
        </is>
      </c>
      <c r="C752" t="inlineStr">
        <is>
          <t>PZ-B</t>
        </is>
      </c>
      <c r="D752" t="n">
        <v>8</v>
      </c>
      <c r="E752" t="inlineStr">
        <is>
          <t>H0408</t>
        </is>
      </c>
      <c r="F752" t="inlineStr">
        <is>
          <t>桃園市中壢區青埔六街220號隔壁</t>
        </is>
      </c>
      <c r="G752" t="n">
        <v>25.004983</v>
      </c>
      <c r="H752" t="n">
        <v>121.220164</v>
      </c>
      <c r="I752" t="n">
        <v>8</v>
      </c>
      <c r="J752" t="n">
        <v>3</v>
      </c>
      <c r="K752" t="n">
        <v>158.3</v>
      </c>
      <c r="L752" t="inlineStr">
        <is>
          <t>Primary</t>
        </is>
      </c>
    </row>
    <row r="753">
      <c r="A753" t="n">
        <v>6</v>
      </c>
      <c r="B753" s="25" t="inlineStr">
        <is>
          <t>S05</t>
        </is>
      </c>
      <c r="C753" t="inlineStr">
        <is>
          <t>PZ-B</t>
        </is>
      </c>
      <c r="D753" t="n">
        <v>9</v>
      </c>
      <c r="E753" t="inlineStr">
        <is>
          <t>H0404</t>
        </is>
      </c>
      <c r="F753" t="inlineStr">
        <is>
          <t>桃園市中壢區青埔八街66號旁工地</t>
        </is>
      </c>
      <c r="G753" t="n">
        <v>25.004283</v>
      </c>
      <c r="H753" t="n">
        <v>121.222003</v>
      </c>
      <c r="I753" t="n">
        <v>16</v>
      </c>
      <c r="J753" t="n">
        <v>3</v>
      </c>
      <c r="K753" t="n">
        <v>177.3</v>
      </c>
      <c r="L753" t="inlineStr">
        <is>
          <t>Primary</t>
        </is>
      </c>
    </row>
    <row r="754">
      <c r="A754" t="n">
        <v>6</v>
      </c>
      <c r="B754" s="25" t="inlineStr">
        <is>
          <t>S05</t>
        </is>
      </c>
      <c r="C754" t="inlineStr">
        <is>
          <t>PZ-B</t>
        </is>
      </c>
      <c r="D754" t="n">
        <v>10</v>
      </c>
      <c r="E754" t="inlineStr">
        <is>
          <t>H0403</t>
        </is>
      </c>
      <c r="F754" t="inlineStr">
        <is>
          <t>桃園市中壢區青埔七街&amp;青埔八街交叉口</t>
        </is>
      </c>
      <c r="G754" t="n">
        <v>25.004628</v>
      </c>
      <c r="H754" t="n">
        <v>121.222653</v>
      </c>
      <c r="I754" t="n">
        <v>8</v>
      </c>
      <c r="J754" t="n">
        <v>2</v>
      </c>
      <c r="K754" t="n">
        <v>187.3</v>
      </c>
      <c r="L754" t="inlineStr">
        <is>
          <t>Primary</t>
        </is>
      </c>
    </row>
    <row r="755">
      <c r="A755" t="n">
        <v>6</v>
      </c>
      <c r="B755" s="25" t="inlineStr">
        <is>
          <t>S05</t>
        </is>
      </c>
      <c r="C755" t="inlineStr">
        <is>
          <t>PZ-B</t>
        </is>
      </c>
      <c r="D755" t="n">
        <v>11</v>
      </c>
      <c r="E755" t="inlineStr">
        <is>
          <t>H0976</t>
        </is>
      </c>
      <c r="F755" t="inlineStr">
        <is>
          <t>桃園市蘆竹區龍林街845巷32號(靠近中壢休息站旁貨櫃)</t>
        </is>
      </c>
      <c r="G755" t="n">
        <v>25.000767</v>
      </c>
      <c r="H755" t="n">
        <v>121.255125</v>
      </c>
      <c r="I755" t="n">
        <v>8</v>
      </c>
      <c r="J755" t="n">
        <v>7.9</v>
      </c>
      <c r="K755" t="n">
        <v>203.2</v>
      </c>
      <c r="L755" t="inlineStr">
        <is>
          <t>Primary</t>
        </is>
      </c>
    </row>
    <row r="756">
      <c r="A756" t="n">
        <v>6</v>
      </c>
      <c r="B756" s="25" t="inlineStr">
        <is>
          <t>S05</t>
        </is>
      </c>
      <c r="C756" t="inlineStr">
        <is>
          <t>PZ-B</t>
        </is>
      </c>
      <c r="D756" t="n">
        <v>12</v>
      </c>
      <c r="E756" t="inlineStr">
        <is>
          <t>H0549</t>
        </is>
      </c>
      <c r="F756" t="inlineStr">
        <is>
          <t>桃園市桃園區(近八德)國強十三街30號</t>
        </is>
      </c>
      <c r="G756" t="n">
        <v>24.992716</v>
      </c>
      <c r="H756" t="n">
        <v>121.277006</v>
      </c>
      <c r="I756" t="n">
        <v>8</v>
      </c>
      <c r="J756" t="n">
        <v>5.7</v>
      </c>
      <c r="K756" t="n">
        <v>217</v>
      </c>
      <c r="L756" t="inlineStr">
        <is>
          <t>Primary</t>
        </is>
      </c>
    </row>
    <row r="757">
      <c r="A757" t="n">
        <v>6</v>
      </c>
      <c r="B757" s="25" t="inlineStr">
        <is>
          <t>S05</t>
        </is>
      </c>
      <c r="C757" t="inlineStr">
        <is>
          <t>PZ-B</t>
        </is>
      </c>
      <c r="D757" t="n">
        <v>13</v>
      </c>
      <c r="E757" t="inlineStr">
        <is>
          <t>H0004</t>
        </is>
      </c>
      <c r="F757" t="inlineStr">
        <is>
          <t>桃園市八德區中華路77號-18F</t>
        </is>
      </c>
      <c r="G757" t="n">
        <v>24.985275</v>
      </c>
      <c r="H757" t="n">
        <v>121.2811</v>
      </c>
      <c r="I757" t="n">
        <v>24</v>
      </c>
      <c r="J757" t="n">
        <v>3</v>
      </c>
      <c r="K757" t="n">
        <v>244</v>
      </c>
      <c r="L757" t="inlineStr">
        <is>
          <t>Primary</t>
        </is>
      </c>
    </row>
    <row r="758">
      <c r="A758" t="n">
        <v>6</v>
      </c>
      <c r="B758" s="25" t="inlineStr">
        <is>
          <t>S05</t>
        </is>
      </c>
      <c r="C758" t="inlineStr">
        <is>
          <t>PZ-B</t>
        </is>
      </c>
      <c r="D758" t="n">
        <v>14</v>
      </c>
      <c r="E758" t="inlineStr">
        <is>
          <t>H0003</t>
        </is>
      </c>
      <c r="F758" t="inlineStr">
        <is>
          <t>桃園市八德區中華路77號</t>
        </is>
      </c>
      <c r="G758" t="n">
        <v>24.98527475</v>
      </c>
      <c r="H758" t="n">
        <v>121.28129275</v>
      </c>
      <c r="I758" t="n">
        <v>64</v>
      </c>
      <c r="J758" t="n">
        <v>2</v>
      </c>
      <c r="K758" t="n">
        <v>310</v>
      </c>
      <c r="L758" t="inlineStr">
        <is>
          <t>Primary</t>
        </is>
      </c>
    </row>
    <row r="759">
      <c r="A759" t="n">
        <v>6</v>
      </c>
      <c r="B759" s="25" t="inlineStr">
        <is>
          <t>S05</t>
        </is>
      </c>
      <c r="C759" t="inlineStr">
        <is>
          <t>PZ-B</t>
        </is>
      </c>
      <c r="D759" t="n">
        <v>15</v>
      </c>
      <c r="E759" t="inlineStr">
        <is>
          <t>H0550</t>
        </is>
      </c>
      <c r="F759" t="inlineStr">
        <is>
          <t>桃園市桃園區(近八德)國際路一段485巷31號附近工地</t>
        </is>
      </c>
      <c r="G759" t="n">
        <v>24.972684</v>
      </c>
      <c r="H759" t="n">
        <v>121.2882</v>
      </c>
      <c r="I759" t="n">
        <v>8</v>
      </c>
      <c r="J759" t="n">
        <v>3.8</v>
      </c>
      <c r="K759" t="n">
        <v>321.7</v>
      </c>
      <c r="L759" t="inlineStr">
        <is>
          <t>Primary</t>
        </is>
      </c>
    </row>
    <row r="760">
      <c r="A760" t="n">
        <v>6</v>
      </c>
      <c r="B760" s="25" t="inlineStr">
        <is>
          <t>S05</t>
        </is>
      </c>
      <c r="C760" t="inlineStr">
        <is>
          <t>PZ-B</t>
        </is>
      </c>
      <c r="D760" t="n">
        <v>16</v>
      </c>
      <c r="E760" t="inlineStr">
        <is>
          <t>H0548</t>
        </is>
      </c>
      <c r="F760" t="inlineStr">
        <is>
          <t>桃園市桃園區(八德區))國際路一段401巷123號-護國宮</t>
        </is>
      </c>
      <c r="G760" t="n">
        <v>24.966258</v>
      </c>
      <c r="H760" t="n">
        <v>121.289544</v>
      </c>
      <c r="I760" t="n">
        <v>8</v>
      </c>
      <c r="J760" t="n">
        <v>3</v>
      </c>
      <c r="K760" t="n">
        <v>332.7</v>
      </c>
      <c r="L760" t="inlineStr">
        <is>
          <t>Primary</t>
        </is>
      </c>
    </row>
    <row r="761">
      <c r="A761" t="n">
        <v>6</v>
      </c>
      <c r="B761" s="25" t="inlineStr">
        <is>
          <t>S05</t>
        </is>
      </c>
      <c r="C761" t="inlineStr">
        <is>
          <t>PZ-B</t>
        </is>
      </c>
      <c r="D761" t="n">
        <v>17</v>
      </c>
      <c r="E761" t="inlineStr">
        <is>
          <t>H0013</t>
        </is>
      </c>
      <c r="F761" t="inlineStr">
        <is>
          <t>桃園市八德區成功街346巷15號(黃碧珍)</t>
        </is>
      </c>
      <c r="G761" t="n">
        <v>24.962792</v>
      </c>
      <c r="H761" t="n">
        <v>121.285819</v>
      </c>
      <c r="I761" t="n">
        <v>8</v>
      </c>
      <c r="J761" t="n">
        <v>3</v>
      </c>
      <c r="K761" t="n">
        <v>343.7</v>
      </c>
      <c r="L761" t="inlineStr">
        <is>
          <t>Primary</t>
        </is>
      </c>
    </row>
    <row r="762">
      <c r="A762" t="n">
        <v>6</v>
      </c>
      <c r="B762" s="25" t="inlineStr">
        <is>
          <t>S05</t>
        </is>
      </c>
      <c r="C762" t="inlineStr">
        <is>
          <t>PZ-B</t>
        </is>
      </c>
      <c r="D762" t="n">
        <v>18</v>
      </c>
      <c r="E762" t="inlineStr">
        <is>
          <t>H0982</t>
        </is>
      </c>
      <c r="F762" t="inlineStr">
        <is>
          <t>桃園市觀音區八德六街70號</t>
        </is>
      </c>
      <c r="G762" t="n">
        <v>25.043144</v>
      </c>
      <c r="H762" t="n">
        <v>121.141591</v>
      </c>
      <c r="I762" t="n">
        <v>8</v>
      </c>
      <c r="J762" t="n">
        <v>17.1</v>
      </c>
      <c r="K762" t="n">
        <v>368.8</v>
      </c>
      <c r="L762" t="inlineStr">
        <is>
          <t>Primary</t>
        </is>
      </c>
    </row>
    <row r="763">
      <c r="A763" t="n">
        <v>6</v>
      </c>
      <c r="B763" s="25" t="inlineStr">
        <is>
          <t>S05</t>
        </is>
      </c>
      <c r="C763" t="inlineStr">
        <is>
          <t>PZ-B</t>
        </is>
      </c>
      <c r="D763" t="n">
        <v>19</v>
      </c>
      <c r="E763" t="inlineStr">
        <is>
          <t>H0675</t>
        </is>
      </c>
      <c r="F763" t="inlineStr">
        <is>
          <t>桃園市新屋區新華路1段511巷46號</t>
        </is>
      </c>
      <c r="G763" t="n">
        <v>24.995247</v>
      </c>
      <c r="H763" t="n">
        <v>121.111211</v>
      </c>
      <c r="I763" t="n">
        <v>16</v>
      </c>
      <c r="J763" t="n">
        <v>14.7</v>
      </c>
      <c r="K763" t="n">
        <v>399.5</v>
      </c>
      <c r="L763" t="inlineStr">
        <is>
          <t>Primary</t>
        </is>
      </c>
    </row>
    <row r="764">
      <c r="A764" t="n">
        <v>6</v>
      </c>
      <c r="B764" s="25" t="inlineStr">
        <is>
          <t>S05</t>
        </is>
      </c>
      <c r="C764" t="inlineStr">
        <is>
          <t>PZ-B</t>
        </is>
      </c>
      <c r="D764" t="n">
        <v>20</v>
      </c>
      <c r="E764" t="inlineStr">
        <is>
          <t>H0676</t>
        </is>
      </c>
      <c r="F764" t="inlineStr">
        <is>
          <t>桃園市新屋區新華路一段37巷-附地標</t>
        </is>
      </c>
      <c r="G764" t="n">
        <v>24.986366</v>
      </c>
      <c r="H764" t="n">
        <v>121.106072</v>
      </c>
      <c r="I764" t="n">
        <v>8</v>
      </c>
      <c r="J764" t="n">
        <v>3</v>
      </c>
      <c r="K764" t="n">
        <v>410.5</v>
      </c>
      <c r="L764" t="inlineStr">
        <is>
          <t>Primary</t>
        </is>
      </c>
    </row>
    <row r="765">
      <c r="A765" t="n">
        <v>6</v>
      </c>
      <c r="B765" s="25" t="inlineStr">
        <is>
          <t>S05</t>
        </is>
      </c>
      <c r="C765" t="inlineStr">
        <is>
          <t>PZ-B</t>
        </is>
      </c>
      <c r="D765" t="n">
        <v>21</v>
      </c>
      <c r="E765" t="inlineStr">
        <is>
          <t>H0641</t>
        </is>
      </c>
      <c r="F765" t="inlineStr">
        <is>
          <t>桃園市新屋區東興路一段752巷60號附近工地</t>
        </is>
      </c>
      <c r="G765" t="n">
        <v>24.988422</v>
      </c>
      <c r="H765" t="n">
        <v>121.074953</v>
      </c>
      <c r="I765" t="n">
        <v>8</v>
      </c>
      <c r="J765" t="n">
        <v>7.5</v>
      </c>
      <c r="K765" t="n">
        <v>426.1</v>
      </c>
      <c r="L765" t="inlineStr">
        <is>
          <t>Primary</t>
        </is>
      </c>
    </row>
    <row r="766">
      <c r="A766" t="n">
        <v>6</v>
      </c>
      <c r="B766" s="25" t="inlineStr">
        <is>
          <t>S05</t>
        </is>
      </c>
      <c r="C766" t="inlineStr">
        <is>
          <t>PZ-B</t>
        </is>
      </c>
      <c r="D766" t="n">
        <v>22</v>
      </c>
      <c r="E766" t="inlineStr">
        <is>
          <t>H0640</t>
        </is>
      </c>
      <c r="F766" t="inlineStr">
        <is>
          <t>桃園市新屋區東興路1800巷79號斜對面(藻礁區)</t>
        </is>
      </c>
      <c r="G766" t="n">
        <v>25.015333</v>
      </c>
      <c r="H766" t="n">
        <v>121.035522</v>
      </c>
      <c r="I766" t="n">
        <v>8</v>
      </c>
      <c r="J766" t="n">
        <v>11.9</v>
      </c>
      <c r="K766" t="n">
        <v>446</v>
      </c>
      <c r="L766" t="inlineStr">
        <is>
          <t>Primary</t>
        </is>
      </c>
    </row>
    <row r="767">
      <c r="A767" t="n">
        <v>6</v>
      </c>
      <c r="B767" s="25" t="inlineStr">
        <is>
          <t>S05</t>
        </is>
      </c>
      <c r="C767" t="inlineStr">
        <is>
          <t>PZ-B</t>
        </is>
      </c>
      <c r="D767" t="n">
        <v>23</v>
      </c>
      <c r="E767" t="inlineStr">
        <is>
          <t>H0758</t>
        </is>
      </c>
      <c r="F767" t="inlineStr">
        <is>
          <t>桃園市楊梅區楊湖路３段連255巷92弄工地</t>
        </is>
      </c>
      <c r="G767" t="n">
        <v>24.909103</v>
      </c>
      <c r="H767" t="n">
        <v>121.091077</v>
      </c>
      <c r="I767" t="n">
        <v>16</v>
      </c>
      <c r="J767" t="n">
        <v>13.1</v>
      </c>
      <c r="K767" t="n">
        <v>475.1</v>
      </c>
      <c r="L767" t="inlineStr">
        <is>
          <t>Primary</t>
        </is>
      </c>
    </row>
    <row r="768">
      <c r="A768" t="n">
        <v>6</v>
      </c>
      <c r="B768" s="25" t="inlineStr">
        <is>
          <t>S05</t>
        </is>
      </c>
      <c r="C768" t="inlineStr">
        <is>
          <t>PZ-B</t>
        </is>
      </c>
      <c r="D768" t="n">
        <v>24</v>
      </c>
      <c r="E768" t="inlineStr">
        <is>
          <t>H0742</t>
        </is>
      </c>
      <c r="F768" t="inlineStr">
        <is>
          <t>桃園市楊梅區高鐵南路十段502巷8號旁</t>
        </is>
      </c>
      <c r="G768" t="n">
        <v>24.902078</v>
      </c>
      <c r="H768" t="n">
        <v>121.082361</v>
      </c>
      <c r="I768" t="n">
        <v>16</v>
      </c>
      <c r="J768" t="n">
        <v>3</v>
      </c>
      <c r="K768" t="n">
        <v>494.1</v>
      </c>
      <c r="L768" t="inlineStr">
        <is>
          <t>Primary</t>
        </is>
      </c>
    </row>
    <row r="769">
      <c r="A769" t="n">
        <v>1</v>
      </c>
      <c r="B769" s="26" t="inlineStr">
        <is>
          <t>S06</t>
        </is>
      </c>
      <c r="C769" t="inlineStr">
        <is>
          <t>PZ-B</t>
        </is>
      </c>
      <c r="D769" t="n">
        <v>1</v>
      </c>
      <c r="E769" t="inlineStr">
        <is>
          <t>H0495</t>
        </is>
      </c>
      <c r="F769" t="inlineStr">
        <is>
          <t>桃園市平鎮區平東路一段98號-東勢廟後面</t>
        </is>
      </c>
      <c r="G769" t="n">
        <v>24.91218633333333</v>
      </c>
      <c r="H769" t="n">
        <v>121.234743</v>
      </c>
      <c r="I769" t="n">
        <v>24</v>
      </c>
      <c r="J769" t="n">
        <v>3</v>
      </c>
      <c r="K769" t="n">
        <v>27</v>
      </c>
      <c r="L769" t="inlineStr">
        <is>
          <t>Primary</t>
        </is>
      </c>
    </row>
    <row r="770">
      <c r="A770" t="n">
        <v>1</v>
      </c>
      <c r="B770" s="26" t="inlineStr">
        <is>
          <t>S06</t>
        </is>
      </c>
      <c r="C770" t="inlineStr">
        <is>
          <t>PZ-B</t>
        </is>
      </c>
      <c r="D770" t="n">
        <v>2</v>
      </c>
      <c r="E770" t="inlineStr">
        <is>
          <t>H0516</t>
        </is>
      </c>
      <c r="F770" t="inlineStr">
        <is>
          <t>桃園市平鎮區建安路239巷187號</t>
        </is>
      </c>
      <c r="G770" t="n">
        <v>24.919345</v>
      </c>
      <c r="H770" t="n">
        <v>121.234039</v>
      </c>
      <c r="I770" t="n">
        <v>8</v>
      </c>
      <c r="J770" t="n">
        <v>3</v>
      </c>
      <c r="K770" t="n">
        <v>38</v>
      </c>
      <c r="L770" t="inlineStr">
        <is>
          <t>Primary</t>
        </is>
      </c>
    </row>
    <row r="771">
      <c r="A771" t="n">
        <v>1</v>
      </c>
      <c r="B771" s="26" t="inlineStr">
        <is>
          <t>S06</t>
        </is>
      </c>
      <c r="C771" t="inlineStr">
        <is>
          <t>PZ-B</t>
        </is>
      </c>
      <c r="D771" t="n">
        <v>3</v>
      </c>
      <c r="E771" t="inlineStr">
        <is>
          <t>H0518</t>
        </is>
      </c>
      <c r="F771" t="inlineStr">
        <is>
          <t>桃園市平鎮區游泳路&amp;龍慈路口-陸軍體育館</t>
        </is>
      </c>
      <c r="G771" t="n">
        <v>24.928789</v>
      </c>
      <c r="H771" t="n">
        <v>121.23543</v>
      </c>
      <c r="I771" t="n">
        <v>16</v>
      </c>
      <c r="J771" t="n">
        <v>3</v>
      </c>
      <c r="K771" t="n">
        <v>57</v>
      </c>
      <c r="L771" t="inlineStr">
        <is>
          <t>Primary</t>
        </is>
      </c>
    </row>
    <row r="772">
      <c r="A772" t="n">
        <v>1</v>
      </c>
      <c r="B772" s="26" t="inlineStr">
        <is>
          <t>S06</t>
        </is>
      </c>
      <c r="C772" t="inlineStr">
        <is>
          <t>PZ-B</t>
        </is>
      </c>
      <c r="D772" t="n">
        <v>4</v>
      </c>
      <c r="E772" t="inlineStr">
        <is>
          <t>H0519</t>
        </is>
      </c>
      <c r="F772" t="inlineStr">
        <is>
          <t>桃園市平鎮區游泳路120巷123號對面</t>
        </is>
      </c>
      <c r="G772" t="n">
        <v>24.93155</v>
      </c>
      <c r="H772" t="n">
        <v>121.231639</v>
      </c>
      <c r="I772" t="n">
        <v>8</v>
      </c>
      <c r="J772" t="n">
        <v>3</v>
      </c>
      <c r="K772" t="n">
        <v>68</v>
      </c>
      <c r="L772" t="inlineStr">
        <is>
          <t>Primary</t>
        </is>
      </c>
    </row>
    <row r="773">
      <c r="A773" t="n">
        <v>1</v>
      </c>
      <c r="B773" s="26" t="inlineStr">
        <is>
          <t>S06</t>
        </is>
      </c>
      <c r="C773" t="inlineStr">
        <is>
          <t>PZ-B</t>
        </is>
      </c>
      <c r="D773" t="n">
        <v>5</v>
      </c>
      <c r="E773" t="inlineStr">
        <is>
          <t>H0473</t>
        </is>
      </c>
      <c r="F773" t="inlineStr">
        <is>
          <t>桃園市中壢區龍勇路141號旁工地</t>
        </is>
      </c>
      <c r="G773" t="n">
        <v>24.939205</v>
      </c>
      <c r="H773" t="n">
        <v>121.234177</v>
      </c>
      <c r="I773" t="n">
        <v>32</v>
      </c>
      <c r="J773" t="n">
        <v>3</v>
      </c>
      <c r="K773" t="n">
        <v>103</v>
      </c>
      <c r="L773" t="inlineStr">
        <is>
          <t>Primary</t>
        </is>
      </c>
    </row>
    <row r="774">
      <c r="A774" t="n">
        <v>1</v>
      </c>
      <c r="B774" s="26" t="inlineStr">
        <is>
          <t>S06</t>
        </is>
      </c>
      <c r="C774" t="inlineStr">
        <is>
          <t>PZ-B</t>
        </is>
      </c>
      <c r="D774" t="n">
        <v>6</v>
      </c>
      <c r="E774" t="inlineStr">
        <is>
          <t>H0471</t>
        </is>
      </c>
      <c r="F774" t="inlineStr">
        <is>
          <t>桃園市中壢區龍岡路三段37巷92弄102號</t>
        </is>
      </c>
      <c r="G774" t="n">
        <v>24.939333</v>
      </c>
      <c r="H774" t="n">
        <v>121.235527</v>
      </c>
      <c r="I774" t="n">
        <v>8</v>
      </c>
      <c r="J774" t="n">
        <v>3</v>
      </c>
      <c r="K774" t="n">
        <v>114</v>
      </c>
      <c r="L774" t="inlineStr">
        <is>
          <t>Primary</t>
        </is>
      </c>
    </row>
    <row r="775">
      <c r="A775" t="n">
        <v>1</v>
      </c>
      <c r="B775" s="26" t="inlineStr">
        <is>
          <t>S06</t>
        </is>
      </c>
      <c r="C775" t="inlineStr">
        <is>
          <t>PZ-B</t>
        </is>
      </c>
      <c r="D775" t="n">
        <v>7</v>
      </c>
      <c r="E775" t="inlineStr">
        <is>
          <t>H0470</t>
        </is>
      </c>
      <c r="F775" t="inlineStr">
        <is>
          <t>桃園市中壢區龍岡路二段321巷102弄20衖65號</t>
        </is>
      </c>
      <c r="G775" t="n">
        <v>24.943277</v>
      </c>
      <c r="H775" t="n">
        <v>121.232692</v>
      </c>
      <c r="I775" t="n">
        <v>8</v>
      </c>
      <c r="J775" t="n">
        <v>3</v>
      </c>
      <c r="K775" t="n">
        <v>125</v>
      </c>
      <c r="L775" t="inlineStr">
        <is>
          <t>Primary</t>
        </is>
      </c>
    </row>
    <row r="776">
      <c r="A776" t="n">
        <v>1</v>
      </c>
      <c r="B776" s="26" t="inlineStr">
        <is>
          <t>S06</t>
        </is>
      </c>
      <c r="C776" t="inlineStr">
        <is>
          <t>PZ-B</t>
        </is>
      </c>
      <c r="D776" t="n">
        <v>8</v>
      </c>
      <c r="E776" t="inlineStr">
        <is>
          <t>H0420</t>
        </is>
      </c>
      <c r="F776" t="inlineStr">
        <is>
          <t>桃園市中壢區後興路二段525號</t>
        </is>
      </c>
      <c r="G776" t="n">
        <v>24.944666</v>
      </c>
      <c r="H776" t="n">
        <v>121.230867</v>
      </c>
      <c r="I776" t="n">
        <v>8</v>
      </c>
      <c r="J776" t="n">
        <v>3</v>
      </c>
      <c r="K776" t="n">
        <v>136</v>
      </c>
      <c r="L776" t="inlineStr">
        <is>
          <t>Primary</t>
        </is>
      </c>
    </row>
    <row r="777">
      <c r="A777" t="n">
        <v>1</v>
      </c>
      <c r="B777" s="26" t="inlineStr">
        <is>
          <t>S06</t>
        </is>
      </c>
      <c r="C777" t="inlineStr">
        <is>
          <t>PZ-B</t>
        </is>
      </c>
      <c r="D777" t="n">
        <v>9</v>
      </c>
      <c r="E777" t="inlineStr">
        <is>
          <t>H0386</t>
        </is>
      </c>
      <c r="F777" t="inlineStr">
        <is>
          <t>桃園市中壢區吉長街53號旁</t>
        </is>
      </c>
      <c r="G777" t="n">
        <v>24.946733</v>
      </c>
      <c r="H777" t="n">
        <v>121.23112</v>
      </c>
      <c r="I777" t="n">
        <v>8</v>
      </c>
      <c r="J777" t="n">
        <v>3</v>
      </c>
      <c r="K777" t="n">
        <v>147</v>
      </c>
      <c r="L777" t="inlineStr">
        <is>
          <t>Primary</t>
        </is>
      </c>
    </row>
    <row r="778">
      <c r="A778" t="n">
        <v>1</v>
      </c>
      <c r="B778" s="26" t="inlineStr">
        <is>
          <t>S06</t>
        </is>
      </c>
      <c r="C778" t="inlineStr">
        <is>
          <t>PZ-B</t>
        </is>
      </c>
      <c r="D778" t="n">
        <v>10</v>
      </c>
      <c r="E778" t="inlineStr">
        <is>
          <t>H0422</t>
        </is>
      </c>
      <c r="F778" t="inlineStr">
        <is>
          <t>桃園市中壢區桂林街5號旁-健行大學旁</t>
        </is>
      </c>
      <c r="G778" t="n">
        <v>24.949086</v>
      </c>
      <c r="H778" t="n">
        <v>121.231128</v>
      </c>
      <c r="I778" t="n">
        <v>8</v>
      </c>
      <c r="J778" t="n">
        <v>3</v>
      </c>
      <c r="K778" t="n">
        <v>158</v>
      </c>
      <c r="L778" t="inlineStr">
        <is>
          <t>Primary</t>
        </is>
      </c>
    </row>
    <row r="779">
      <c r="A779" t="n">
        <v>1</v>
      </c>
      <c r="B779" s="26" t="inlineStr">
        <is>
          <t>S06</t>
        </is>
      </c>
      <c r="C779" t="inlineStr">
        <is>
          <t>PZ-B</t>
        </is>
      </c>
      <c r="D779" t="n">
        <v>11</v>
      </c>
      <c r="E779" t="inlineStr">
        <is>
          <t>H0424</t>
        </is>
      </c>
      <c r="F779" t="inlineStr">
        <is>
          <t>桃園市中壢區健行路&amp;中北路交叉口南側-被扣錢</t>
        </is>
      </c>
      <c r="G779" t="n">
        <v>24.952144</v>
      </c>
      <c r="H779" t="n">
        <v>121.226423</v>
      </c>
      <c r="I779" t="n">
        <v>16</v>
      </c>
      <c r="J779" t="n">
        <v>3</v>
      </c>
      <c r="K779" t="n">
        <v>177</v>
      </c>
      <c r="L779" t="inlineStr">
        <is>
          <t>Primary</t>
        </is>
      </c>
    </row>
    <row r="780">
      <c r="A780" t="n">
        <v>1</v>
      </c>
      <c r="B780" s="26" t="inlineStr">
        <is>
          <t>S06</t>
        </is>
      </c>
      <c r="C780" t="inlineStr">
        <is>
          <t>PZ-B</t>
        </is>
      </c>
      <c r="D780" t="n">
        <v>12</v>
      </c>
      <c r="E780" t="inlineStr">
        <is>
          <t>H0425</t>
        </is>
      </c>
      <c r="F780" t="inlineStr">
        <is>
          <t>桃園市中壢區健行路底(後車站前)CM01標-1131231</t>
        </is>
      </c>
      <c r="G780" t="n">
        <v>24.952842</v>
      </c>
      <c r="H780" t="n">
        <v>121.225789</v>
      </c>
      <c r="I780" t="n">
        <v>16</v>
      </c>
      <c r="J780" t="n">
        <v>3</v>
      </c>
      <c r="K780" t="n">
        <v>196</v>
      </c>
      <c r="L780" t="inlineStr">
        <is>
          <t>Primary</t>
        </is>
      </c>
    </row>
    <row r="781">
      <c r="A781" t="n">
        <v>1</v>
      </c>
      <c r="B781" s="26" t="inlineStr">
        <is>
          <t>S06</t>
        </is>
      </c>
      <c r="C781" t="inlineStr">
        <is>
          <t>PZ-B</t>
        </is>
      </c>
      <c r="D781" t="n">
        <v>13</v>
      </c>
      <c r="E781" t="inlineStr">
        <is>
          <t>H0451</t>
        </is>
      </c>
      <c r="F781" t="inlineStr">
        <is>
          <t>桃園市中壢區新興路123號-後火車站鐵路警察辦公室</t>
        </is>
      </c>
      <c r="G781" t="n">
        <v>24.9530407</v>
      </c>
      <c r="H781" t="n">
        <v>121.2260719</v>
      </c>
      <c r="I781" t="n">
        <v>16</v>
      </c>
      <c r="J781" t="n">
        <v>2</v>
      </c>
      <c r="K781" t="n">
        <v>214</v>
      </c>
      <c r="L781" t="inlineStr">
        <is>
          <t>Primary</t>
        </is>
      </c>
    </row>
    <row r="782">
      <c r="A782" t="n">
        <v>1</v>
      </c>
      <c r="B782" s="26" t="inlineStr">
        <is>
          <t>S06</t>
        </is>
      </c>
      <c r="C782" t="inlineStr">
        <is>
          <t>PZ-B</t>
        </is>
      </c>
      <c r="D782" t="n">
        <v>14</v>
      </c>
      <c r="E782" t="inlineStr">
        <is>
          <t>H0451</t>
        </is>
      </c>
      <c r="F782" t="inlineStr">
        <is>
          <t>桃園市中壢區新興路123號-後火車站鐵路警察辦公室</t>
        </is>
      </c>
      <c r="G782" t="n">
        <v>24.952694</v>
      </c>
      <c r="H782" t="n">
        <v>121.225389</v>
      </c>
      <c r="I782" t="n">
        <v>16</v>
      </c>
      <c r="J782" t="n">
        <v>2</v>
      </c>
      <c r="K782" t="n">
        <v>232</v>
      </c>
      <c r="L782" t="inlineStr">
        <is>
          <t>Primary</t>
        </is>
      </c>
    </row>
    <row r="783">
      <c r="A783" t="n">
        <v>1</v>
      </c>
      <c r="B783" s="26" t="inlineStr">
        <is>
          <t>S06</t>
        </is>
      </c>
      <c r="C783" t="inlineStr">
        <is>
          <t>PZ-B</t>
        </is>
      </c>
      <c r="D783" t="n">
        <v>15</v>
      </c>
      <c r="E783" t="inlineStr">
        <is>
          <t>H0382</t>
        </is>
      </c>
      <c r="F783" t="inlineStr">
        <is>
          <t>桃園市中壢區永樂路35巷18號對面-CJ18</t>
        </is>
      </c>
      <c r="G783" t="n">
        <v>24.952531</v>
      </c>
      <c r="H783" t="n">
        <v>121.223434</v>
      </c>
      <c r="I783" t="n">
        <v>8</v>
      </c>
      <c r="J783" t="n">
        <v>3</v>
      </c>
      <c r="K783" t="n">
        <v>243</v>
      </c>
      <c r="L783" t="inlineStr">
        <is>
          <t>Primary</t>
        </is>
      </c>
    </row>
    <row r="784">
      <c r="A784" t="n">
        <v>1</v>
      </c>
      <c r="B784" s="26" t="inlineStr">
        <is>
          <t>S06</t>
        </is>
      </c>
      <c r="C784" t="inlineStr">
        <is>
          <t>PZ-B</t>
        </is>
      </c>
      <c r="D784" t="n">
        <v>16</v>
      </c>
      <c r="E784" t="inlineStr">
        <is>
          <t>H0425</t>
        </is>
      </c>
      <c r="F784" t="inlineStr">
        <is>
          <t>桃園市中壢區健行路底(後車站前)CM01標-1131231</t>
        </is>
      </c>
      <c r="G784" t="n">
        <v>24.950799</v>
      </c>
      <c r="H784" t="n">
        <v>121.225318</v>
      </c>
      <c r="I784" t="n">
        <v>16</v>
      </c>
      <c r="J784" t="n">
        <v>3</v>
      </c>
      <c r="K784" t="n">
        <v>262</v>
      </c>
      <c r="L784" t="inlineStr">
        <is>
          <t>Primary</t>
        </is>
      </c>
    </row>
    <row r="785">
      <c r="A785" t="n">
        <v>1</v>
      </c>
      <c r="B785" s="26" t="inlineStr">
        <is>
          <t>S06</t>
        </is>
      </c>
      <c r="C785" t="inlineStr">
        <is>
          <t>PZ-B</t>
        </is>
      </c>
      <c r="D785" t="n">
        <v>17</v>
      </c>
      <c r="E785" t="inlineStr">
        <is>
          <t>H0424</t>
        </is>
      </c>
      <c r="F785" t="inlineStr">
        <is>
          <t>桃園市中壢區健行路&amp;中北路交叉口南側-被扣錢</t>
        </is>
      </c>
      <c r="G785" t="n">
        <v>24.949407</v>
      </c>
      <c r="H785" t="n">
        <v>121.223972</v>
      </c>
      <c r="I785" t="n">
        <v>16</v>
      </c>
      <c r="J785" t="n">
        <v>3</v>
      </c>
      <c r="K785" t="n">
        <v>281</v>
      </c>
      <c r="L785" t="inlineStr">
        <is>
          <t>Primary</t>
        </is>
      </c>
    </row>
    <row r="786">
      <c r="A786" t="n">
        <v>1</v>
      </c>
      <c r="B786" s="26" t="inlineStr">
        <is>
          <t>S06</t>
        </is>
      </c>
      <c r="C786" t="inlineStr">
        <is>
          <t>PZ-B</t>
        </is>
      </c>
      <c r="D786" t="n">
        <v>18</v>
      </c>
      <c r="E786" t="inlineStr">
        <is>
          <t>H0488</t>
        </is>
      </c>
      <c r="F786" t="inlineStr">
        <is>
          <t>桃園市平鎮區中豐路79巷16號附近</t>
        </is>
      </c>
      <c r="G786" t="n">
        <v>24.948686</v>
      </c>
      <c r="H786" t="n">
        <v>121.21952</v>
      </c>
      <c r="I786" t="n">
        <v>8</v>
      </c>
      <c r="J786" t="n">
        <v>3</v>
      </c>
      <c r="K786" t="n">
        <v>292</v>
      </c>
      <c r="L786" t="inlineStr">
        <is>
          <t>Primary</t>
        </is>
      </c>
    </row>
    <row r="787">
      <c r="A787" t="n">
        <v>1</v>
      </c>
      <c r="B787" s="26" t="inlineStr">
        <is>
          <t>S06</t>
        </is>
      </c>
      <c r="C787" t="inlineStr">
        <is>
          <t>PZ-B</t>
        </is>
      </c>
      <c r="D787" t="n">
        <v>19</v>
      </c>
      <c r="E787" t="inlineStr">
        <is>
          <t>H0502</t>
        </is>
      </c>
      <c r="F787" t="inlineStr">
        <is>
          <t>桃園市平鎮區承德路2號-711成德門市正對面-CJ18標</t>
        </is>
      </c>
      <c r="G787" t="n">
        <v>24.948686</v>
      </c>
      <c r="H787" t="n">
        <v>121.21952</v>
      </c>
      <c r="I787" t="n">
        <v>8</v>
      </c>
      <c r="J787" t="n">
        <v>2</v>
      </c>
      <c r="K787" t="n">
        <v>302</v>
      </c>
      <c r="L787" t="inlineStr">
        <is>
          <t>Primary</t>
        </is>
      </c>
    </row>
    <row r="788">
      <c r="A788" t="n">
        <v>1</v>
      </c>
      <c r="B788" s="26" t="inlineStr">
        <is>
          <t>S06</t>
        </is>
      </c>
      <c r="C788" t="inlineStr">
        <is>
          <t>PZ-B</t>
        </is>
      </c>
      <c r="D788" t="n">
        <v>20</v>
      </c>
      <c r="E788" t="inlineStr">
        <is>
          <t>H0528</t>
        </is>
      </c>
      <c r="F788" t="inlineStr">
        <is>
          <t>桃園市平鎮區新富里近平鎮棒球場-附座標CJ18</t>
        </is>
      </c>
      <c r="G788" t="n">
        <v>24.947277</v>
      </c>
      <c r="H788" t="n">
        <v>121.218109</v>
      </c>
      <c r="I788" t="n">
        <v>8</v>
      </c>
      <c r="J788" t="n">
        <v>3</v>
      </c>
      <c r="K788" t="n">
        <v>313</v>
      </c>
      <c r="L788" t="inlineStr">
        <is>
          <t>Primary</t>
        </is>
      </c>
    </row>
    <row r="789">
      <c r="A789" t="n">
        <v>1</v>
      </c>
      <c r="B789" s="26" t="inlineStr">
        <is>
          <t>S06</t>
        </is>
      </c>
      <c r="C789" t="inlineStr">
        <is>
          <t>PZ-B</t>
        </is>
      </c>
      <c r="D789" t="n">
        <v>21</v>
      </c>
      <c r="E789" t="inlineStr">
        <is>
          <t>H0500</t>
        </is>
      </c>
      <c r="F789" t="inlineStr">
        <is>
          <t>桃園市平鎮區延平路二段21巷旁</t>
        </is>
      </c>
      <c r="G789" t="n">
        <v>24.950167</v>
      </c>
      <c r="H789" t="n">
        <v>121.214019</v>
      </c>
      <c r="I789" t="n">
        <v>8</v>
      </c>
      <c r="J789" t="n">
        <v>3</v>
      </c>
      <c r="K789" t="n">
        <v>324</v>
      </c>
      <c r="L789" t="inlineStr">
        <is>
          <t>Primary</t>
        </is>
      </c>
    </row>
    <row r="790">
      <c r="A790" t="n">
        <v>1</v>
      </c>
      <c r="B790" s="26" t="inlineStr">
        <is>
          <t>S06</t>
        </is>
      </c>
      <c r="C790" t="inlineStr">
        <is>
          <t>PZ-B</t>
        </is>
      </c>
      <c r="D790" t="n">
        <v>22</v>
      </c>
      <c r="E790" t="inlineStr">
        <is>
          <t>H0499</t>
        </is>
      </c>
      <c r="F790" t="inlineStr">
        <is>
          <t>桃園市平鎮區育達路10號</t>
        </is>
      </c>
      <c r="G790" t="n">
        <v>24.951922</v>
      </c>
      <c r="H790" t="n">
        <v>121.213528</v>
      </c>
      <c r="I790" t="n">
        <v>8</v>
      </c>
      <c r="J790" t="n">
        <v>3</v>
      </c>
      <c r="K790" t="n">
        <v>335</v>
      </c>
      <c r="L790" t="inlineStr">
        <is>
          <t>Primary</t>
        </is>
      </c>
    </row>
    <row r="791">
      <c r="A791" t="n">
        <v>1</v>
      </c>
      <c r="B791" s="26" t="inlineStr">
        <is>
          <t>S06</t>
        </is>
      </c>
      <c r="C791" t="inlineStr">
        <is>
          <t>PZ-B</t>
        </is>
      </c>
      <c r="D791" t="n">
        <v>23</v>
      </c>
      <c r="E791" t="inlineStr">
        <is>
          <t>H0501</t>
        </is>
      </c>
      <c r="F791" t="inlineStr">
        <is>
          <t>桃園市平鎮區忠孝路195巷3號旁</t>
        </is>
      </c>
      <c r="G791" t="n">
        <v>24.952028</v>
      </c>
      <c r="H791" t="n">
        <v>121.212306</v>
      </c>
      <c r="I791" t="n">
        <v>8</v>
      </c>
      <c r="J791" t="n">
        <v>3</v>
      </c>
      <c r="K791" t="n">
        <v>346</v>
      </c>
      <c r="L791" t="inlineStr">
        <is>
          <t>Primary</t>
        </is>
      </c>
    </row>
    <row r="792">
      <c r="A792" t="n">
        <v>1</v>
      </c>
      <c r="B792" s="26" t="inlineStr">
        <is>
          <t>S06</t>
        </is>
      </c>
      <c r="C792" t="inlineStr">
        <is>
          <t>PZ-B</t>
        </is>
      </c>
      <c r="D792" t="n">
        <v>24</v>
      </c>
      <c r="E792" t="inlineStr">
        <is>
          <t>H0463</t>
        </is>
      </c>
      <c r="F792" t="inlineStr">
        <is>
          <t>桃園市中壢區廣明路128號旁停車場-廣明停車場</t>
        </is>
      </c>
      <c r="G792" t="n">
        <v>24.954667</v>
      </c>
      <c r="H792" t="n">
        <v>121.214</v>
      </c>
      <c r="I792" t="n">
        <v>8</v>
      </c>
      <c r="J792" t="n">
        <v>3</v>
      </c>
      <c r="K792" t="n">
        <v>357</v>
      </c>
      <c r="L792" t="inlineStr">
        <is>
          <t>Primary</t>
        </is>
      </c>
    </row>
    <row r="793">
      <c r="A793" t="n">
        <v>1</v>
      </c>
      <c r="B793" s="26" t="inlineStr">
        <is>
          <t>S06</t>
        </is>
      </c>
      <c r="C793" t="inlineStr">
        <is>
          <t>PZ-B</t>
        </is>
      </c>
      <c r="D793" t="n">
        <v>25</v>
      </c>
      <c r="E793" t="inlineStr">
        <is>
          <t>H0452</t>
        </is>
      </c>
      <c r="F793" t="inlineStr">
        <is>
          <t>桃園市中壢區義民路70號</t>
        </is>
      </c>
      <c r="G793" t="n">
        <v>24.953836</v>
      </c>
      <c r="H793" t="n">
        <v>121.216117</v>
      </c>
      <c r="I793" t="n">
        <v>8</v>
      </c>
      <c r="J793" t="n">
        <v>3</v>
      </c>
      <c r="K793" t="n">
        <v>368</v>
      </c>
      <c r="L793" t="inlineStr">
        <is>
          <t>Primary</t>
        </is>
      </c>
    </row>
    <row r="794">
      <c r="A794" t="n">
        <v>1</v>
      </c>
      <c r="B794" s="26" t="inlineStr">
        <is>
          <t>S06</t>
        </is>
      </c>
      <c r="C794" t="inlineStr">
        <is>
          <t>PZ-B</t>
        </is>
      </c>
      <c r="D794" t="n">
        <v>26</v>
      </c>
      <c r="E794" t="inlineStr">
        <is>
          <t>H0453</t>
        </is>
      </c>
      <c r="F794" t="inlineStr">
        <is>
          <t>桃園市中壢區義民路一段23號</t>
        </is>
      </c>
      <c r="G794" t="n">
        <v>24.95655</v>
      </c>
      <c r="H794" t="n">
        <v>121.21787</v>
      </c>
      <c r="I794" t="n">
        <v>8</v>
      </c>
      <c r="J794" t="n">
        <v>3</v>
      </c>
      <c r="K794" t="n">
        <v>379</v>
      </c>
      <c r="L794" t="inlineStr">
        <is>
          <t>Primary</t>
        </is>
      </c>
    </row>
    <row r="795">
      <c r="A795" t="n">
        <v>1</v>
      </c>
      <c r="B795" s="26" t="inlineStr">
        <is>
          <t>S06</t>
        </is>
      </c>
      <c r="C795" t="inlineStr">
        <is>
          <t>PZ-B</t>
        </is>
      </c>
      <c r="D795" t="n">
        <v>27</v>
      </c>
      <c r="E795" t="inlineStr">
        <is>
          <t>H0343</t>
        </is>
      </c>
      <c r="F795" t="inlineStr">
        <is>
          <t>桃園市中壢區中正路455號對面</t>
        </is>
      </c>
      <c r="G795" t="n">
        <v>24.956869</v>
      </c>
      <c r="H795" t="n">
        <v>121.214094</v>
      </c>
      <c r="I795" t="n">
        <v>8</v>
      </c>
      <c r="J795" t="n">
        <v>3</v>
      </c>
      <c r="K795" t="n">
        <v>390</v>
      </c>
      <c r="L795" t="inlineStr">
        <is>
          <t>Primary</t>
        </is>
      </c>
    </row>
    <row r="796">
      <c r="A796" t="n">
        <v>1</v>
      </c>
      <c r="B796" s="26" t="inlineStr">
        <is>
          <t>S06</t>
        </is>
      </c>
      <c r="C796" t="inlineStr">
        <is>
          <t>PZ-B</t>
        </is>
      </c>
      <c r="D796" t="n">
        <v>28</v>
      </c>
      <c r="E796" t="inlineStr">
        <is>
          <t>H0533</t>
        </is>
      </c>
      <c r="F796" t="inlineStr">
        <is>
          <t>桃園市平鎮區廣東路13號</t>
        </is>
      </c>
      <c r="G796" t="n">
        <v>24.955283</v>
      </c>
      <c r="H796" t="n">
        <v>121.211672</v>
      </c>
      <c r="I796" t="n">
        <v>8</v>
      </c>
      <c r="J796" t="n">
        <v>3</v>
      </c>
      <c r="K796" t="n">
        <v>401</v>
      </c>
      <c r="L796" t="inlineStr">
        <is>
          <t>Primary</t>
        </is>
      </c>
    </row>
    <row r="797">
      <c r="A797" t="n">
        <v>1</v>
      </c>
      <c r="B797" s="26" t="inlineStr">
        <is>
          <t>S06</t>
        </is>
      </c>
      <c r="C797" t="inlineStr">
        <is>
          <t>PZ-B</t>
        </is>
      </c>
      <c r="D797" t="n">
        <v>29</v>
      </c>
      <c r="E797" t="inlineStr">
        <is>
          <t>H0371</t>
        </is>
      </c>
      <c r="F797" t="inlineStr">
        <is>
          <t>桃園市中壢區民族路196號-國鼎鵝肉(宋俊宏婦產科對面)</t>
        </is>
      </c>
      <c r="G797" t="n">
        <v>24.956272</v>
      </c>
      <c r="H797" t="n">
        <v>121.210347</v>
      </c>
      <c r="I797" t="n">
        <v>8</v>
      </c>
      <c r="J797" t="n">
        <v>3</v>
      </c>
      <c r="K797" t="n">
        <v>412</v>
      </c>
      <c r="L797" t="inlineStr">
        <is>
          <t>Primary</t>
        </is>
      </c>
    </row>
    <row r="798">
      <c r="A798" t="n">
        <v>1</v>
      </c>
      <c r="B798" s="26" t="inlineStr">
        <is>
          <t>S06</t>
        </is>
      </c>
      <c r="C798" t="inlineStr">
        <is>
          <t>PZ-B</t>
        </is>
      </c>
      <c r="D798" t="n">
        <v>30</v>
      </c>
      <c r="E798" t="inlineStr">
        <is>
          <t>H0545</t>
        </is>
      </c>
      <c r="F798" t="inlineStr">
        <is>
          <t>桃園市平鎮區環南路35巷23-31號</t>
        </is>
      </c>
      <c r="G798" t="n">
        <v>24.956222</v>
      </c>
      <c r="H798" t="n">
        <v>121.20775</v>
      </c>
      <c r="I798" t="n">
        <v>8</v>
      </c>
      <c r="J798" t="n">
        <v>3</v>
      </c>
      <c r="K798" t="n">
        <v>423</v>
      </c>
      <c r="L798" t="inlineStr">
        <is>
          <t>Primary</t>
        </is>
      </c>
    </row>
    <row r="799">
      <c r="A799" t="n">
        <v>1</v>
      </c>
      <c r="B799" s="26" t="inlineStr">
        <is>
          <t>S06</t>
        </is>
      </c>
      <c r="C799" t="inlineStr">
        <is>
          <t>PZ-B</t>
        </is>
      </c>
      <c r="D799" t="n">
        <v>31</v>
      </c>
      <c r="E799" t="inlineStr">
        <is>
          <t>H0532</t>
        </is>
      </c>
      <c r="F799" t="inlineStr">
        <is>
          <t>桃園市平鎮區廣平街1號-復旦國小</t>
        </is>
      </c>
      <c r="G799" t="n">
        <v>24.954881</v>
      </c>
      <c r="H799" t="n">
        <v>121.207675</v>
      </c>
      <c r="I799" t="n">
        <v>8</v>
      </c>
      <c r="J799" t="n">
        <v>3</v>
      </c>
      <c r="K799" t="n">
        <v>434</v>
      </c>
      <c r="L799" t="inlineStr">
        <is>
          <t>Primary</t>
        </is>
      </c>
    </row>
    <row r="800">
      <c r="A800" t="n">
        <v>1</v>
      </c>
      <c r="B800" s="26" t="inlineStr">
        <is>
          <t>S06</t>
        </is>
      </c>
      <c r="C800" t="inlineStr">
        <is>
          <t>PZ-B</t>
        </is>
      </c>
      <c r="D800" t="n">
        <v>32</v>
      </c>
      <c r="E800" t="inlineStr">
        <is>
          <t>H0536</t>
        </is>
      </c>
      <c r="F800" t="inlineStr">
        <is>
          <t>桃園市平鎮區廣達街32號旁</t>
        </is>
      </c>
      <c r="G800" t="n">
        <v>24.953439</v>
      </c>
      <c r="H800" t="n">
        <v>121.209253</v>
      </c>
      <c r="I800" t="n">
        <v>8</v>
      </c>
      <c r="J800" t="n">
        <v>3</v>
      </c>
      <c r="K800" t="n">
        <v>445</v>
      </c>
      <c r="L800" t="inlineStr">
        <is>
          <t>Primary</t>
        </is>
      </c>
    </row>
    <row r="801">
      <c r="A801" t="n">
        <v>1</v>
      </c>
      <c r="B801" s="26" t="inlineStr">
        <is>
          <t>S06</t>
        </is>
      </c>
      <c r="C801" t="inlineStr">
        <is>
          <t>PZ-B</t>
        </is>
      </c>
      <c r="D801" t="n">
        <v>33</v>
      </c>
      <c r="E801" t="inlineStr">
        <is>
          <t>H0537</t>
        </is>
      </c>
      <c r="F801" t="inlineStr">
        <is>
          <t>桃園市平鎮區廣德街45號</t>
        </is>
      </c>
      <c r="G801" t="n">
        <v>24.955792</v>
      </c>
      <c r="H801" t="n">
        <v>121.205011</v>
      </c>
      <c r="I801" t="n">
        <v>8</v>
      </c>
      <c r="J801" t="n">
        <v>3</v>
      </c>
      <c r="K801" t="n">
        <v>456</v>
      </c>
      <c r="L801" t="inlineStr">
        <is>
          <t>Primary</t>
        </is>
      </c>
    </row>
    <row r="802">
      <c r="A802" t="n">
        <v>1</v>
      </c>
      <c r="B802" s="26" t="inlineStr">
        <is>
          <t>S06</t>
        </is>
      </c>
      <c r="C802" t="inlineStr">
        <is>
          <t>PZ-B</t>
        </is>
      </c>
      <c r="D802" t="n">
        <v>34</v>
      </c>
      <c r="E802" t="inlineStr">
        <is>
          <t>H0370</t>
        </is>
      </c>
      <c r="F802" t="inlineStr">
        <is>
          <t>桃園市中壢區正光街177號旁大華工地</t>
        </is>
      </c>
      <c r="G802" t="n">
        <v>24.960531</v>
      </c>
      <c r="H802" t="n">
        <v>121.204692</v>
      </c>
      <c r="I802" t="n">
        <v>16</v>
      </c>
      <c r="J802" t="n">
        <v>3</v>
      </c>
      <c r="K802" t="n">
        <v>475</v>
      </c>
      <c r="L802" t="inlineStr">
        <is>
          <t>Primary</t>
        </is>
      </c>
    </row>
    <row r="803">
      <c r="A803" t="n">
        <v>1</v>
      </c>
      <c r="B803" s="26" t="inlineStr">
        <is>
          <t>S06</t>
        </is>
      </c>
      <c r="C803" t="inlineStr">
        <is>
          <t>PZ-B</t>
        </is>
      </c>
      <c r="D803" t="n">
        <v>35</v>
      </c>
      <c r="E803" t="inlineStr">
        <is>
          <t>H0478</t>
        </is>
      </c>
      <c r="F803" t="inlineStr">
        <is>
          <t>桃園市中壢區環西路二段25巷11號旁工地</t>
        </is>
      </c>
      <c r="G803" t="n">
        <v>24.962322</v>
      </c>
      <c r="H803" t="n">
        <v>121.208092</v>
      </c>
      <c r="I803" t="n">
        <v>8</v>
      </c>
      <c r="J803" t="n">
        <v>3</v>
      </c>
      <c r="K803" t="n">
        <v>486</v>
      </c>
      <c r="L803" t="inlineStr">
        <is>
          <t>Primary</t>
        </is>
      </c>
    </row>
    <row r="804">
      <c r="A804" t="n">
        <v>1</v>
      </c>
      <c r="B804" s="26" t="inlineStr">
        <is>
          <t>S06</t>
        </is>
      </c>
      <c r="C804" t="inlineStr">
        <is>
          <t>PZ-B</t>
        </is>
      </c>
      <c r="D804" t="n">
        <v>36</v>
      </c>
      <c r="E804" t="inlineStr">
        <is>
          <t>H0342</t>
        </is>
      </c>
      <c r="F804" t="inlineStr">
        <is>
          <t>桃園市中壢區中正路1062巷186號</t>
        </is>
      </c>
      <c r="G804" t="n">
        <v>24.965825</v>
      </c>
      <c r="H804" t="n">
        <v>121.206928</v>
      </c>
      <c r="I804" t="n">
        <v>8</v>
      </c>
      <c r="J804" t="n">
        <v>3</v>
      </c>
      <c r="K804" t="n">
        <v>497</v>
      </c>
      <c r="L804" t="inlineStr">
        <is>
          <t>Primary</t>
        </is>
      </c>
    </row>
    <row r="805">
      <c r="A805" t="n">
        <v>1</v>
      </c>
      <c r="B805" s="26" t="inlineStr">
        <is>
          <t>S06</t>
        </is>
      </c>
      <c r="C805" t="inlineStr">
        <is>
          <t>PZ-B</t>
        </is>
      </c>
      <c r="D805" t="n">
        <v>37</v>
      </c>
      <c r="E805" t="inlineStr">
        <is>
          <t>H0332</t>
        </is>
      </c>
      <c r="F805" t="inlineStr">
        <is>
          <t>桃園市中壢區三民一路158號</t>
        </is>
      </c>
      <c r="G805" t="n">
        <v>24.968442</v>
      </c>
      <c r="H805" t="n">
        <v>121.206575</v>
      </c>
      <c r="I805" t="n">
        <v>16</v>
      </c>
      <c r="J805" t="n">
        <v>3</v>
      </c>
      <c r="K805" t="n">
        <v>516</v>
      </c>
      <c r="L805" t="inlineStr">
        <is>
          <t>Primary</t>
        </is>
      </c>
    </row>
    <row r="806">
      <c r="A806" t="n">
        <v>2</v>
      </c>
      <c r="B806" s="26" t="inlineStr">
        <is>
          <t>S06</t>
        </is>
      </c>
      <c r="C806" t="inlineStr">
        <is>
          <t>PZ-B</t>
        </is>
      </c>
      <c r="D806" t="n">
        <v>1</v>
      </c>
      <c r="E806" t="inlineStr">
        <is>
          <t>H0509</t>
        </is>
      </c>
      <c r="F806" t="inlineStr">
        <is>
          <t>桃園市平鎮區金龍路299號旁農地(工務所)</t>
        </is>
      </c>
      <c r="G806" t="n">
        <v>24.894972</v>
      </c>
      <c r="H806" t="n">
        <v>121.231139</v>
      </c>
      <c r="I806" t="n">
        <v>8</v>
      </c>
      <c r="J806" t="n">
        <v>3.3</v>
      </c>
      <c r="K806" t="n">
        <v>11.3</v>
      </c>
      <c r="L806" t="inlineStr">
        <is>
          <t>Primary</t>
        </is>
      </c>
    </row>
    <row r="807">
      <c r="A807" t="n">
        <v>2</v>
      </c>
      <c r="B807" s="26" t="inlineStr">
        <is>
          <t>S06</t>
        </is>
      </c>
      <c r="C807" t="inlineStr">
        <is>
          <t>PZ-B</t>
        </is>
      </c>
      <c r="D807" t="n">
        <v>2</v>
      </c>
      <c r="E807" t="inlineStr">
        <is>
          <t>H0505</t>
        </is>
      </c>
      <c r="F807" t="inlineStr">
        <is>
          <t>桃園市平鎮區金陵路七段406巷對面空地</t>
        </is>
      </c>
      <c r="G807" t="n">
        <v>24.89333</v>
      </c>
      <c r="H807" t="n">
        <v>121.237552</v>
      </c>
      <c r="I807" t="n">
        <v>8</v>
      </c>
      <c r="J807" t="n">
        <v>3</v>
      </c>
      <c r="K807" t="n">
        <v>22.3</v>
      </c>
      <c r="L807" t="inlineStr">
        <is>
          <t>Primary</t>
        </is>
      </c>
    </row>
    <row r="808">
      <c r="A808" t="n">
        <v>2</v>
      </c>
      <c r="B808" s="26" t="inlineStr">
        <is>
          <t>S06</t>
        </is>
      </c>
      <c r="C808" t="inlineStr">
        <is>
          <t>PZ-B</t>
        </is>
      </c>
      <c r="D808" t="n">
        <v>3</v>
      </c>
      <c r="E808" t="inlineStr">
        <is>
          <t>H0503</t>
        </is>
      </c>
      <c r="F808" t="inlineStr">
        <is>
          <t>桃園市平鎮區東龍街579巷-往前340公尺</t>
        </is>
      </c>
      <c r="G808" t="n">
        <v>24.89177233333334</v>
      </c>
      <c r="H808" t="n">
        <v>121.2461746666667</v>
      </c>
      <c r="I808" t="n">
        <v>24</v>
      </c>
      <c r="J808" t="n">
        <v>3</v>
      </c>
      <c r="K808" t="n">
        <v>49.3</v>
      </c>
      <c r="L808" t="inlineStr">
        <is>
          <t>Primary</t>
        </is>
      </c>
    </row>
    <row r="809">
      <c r="A809" t="n">
        <v>2</v>
      </c>
      <c r="B809" s="26" t="inlineStr">
        <is>
          <t>S06</t>
        </is>
      </c>
      <c r="C809" t="inlineStr">
        <is>
          <t>PZ-B</t>
        </is>
      </c>
      <c r="D809" t="n">
        <v>4</v>
      </c>
      <c r="E809" t="inlineStr">
        <is>
          <t>H0496</t>
        </is>
      </c>
      <c r="F809" t="inlineStr">
        <is>
          <t>桃園市平鎮區快速路一段77巷67號工地</t>
        </is>
      </c>
      <c r="G809" t="n">
        <v>24.896697</v>
      </c>
      <c r="H809" t="n">
        <v>121.248986</v>
      </c>
      <c r="I809" t="n">
        <v>8</v>
      </c>
      <c r="J809" t="n">
        <v>3</v>
      </c>
      <c r="K809" t="n">
        <v>60.3</v>
      </c>
      <c r="L809" t="inlineStr">
        <is>
          <t>Primary</t>
        </is>
      </c>
    </row>
    <row r="810">
      <c r="A810" t="n">
        <v>2</v>
      </c>
      <c r="B810" s="26" t="inlineStr">
        <is>
          <t>S06</t>
        </is>
      </c>
      <c r="C810" t="inlineStr">
        <is>
          <t>PZ-B</t>
        </is>
      </c>
      <c r="D810" t="n">
        <v>5</v>
      </c>
      <c r="E810" t="inlineStr">
        <is>
          <t>H0498</t>
        </is>
      </c>
      <c r="F810" t="inlineStr">
        <is>
          <t>桃園市平鎮區快速路與洪圳路口斜對面-電聯帶定位(303檳榔攤)</t>
        </is>
      </c>
      <c r="G810" t="n">
        <v>24.899783</v>
      </c>
      <c r="H810" t="n">
        <v>121.242825</v>
      </c>
      <c r="I810" t="n">
        <v>8</v>
      </c>
      <c r="J810" t="n">
        <v>3</v>
      </c>
      <c r="K810" t="n">
        <v>71.3</v>
      </c>
      <c r="L810" t="inlineStr">
        <is>
          <t>Primary</t>
        </is>
      </c>
    </row>
    <row r="811">
      <c r="A811" t="n">
        <v>2</v>
      </c>
      <c r="B811" s="26" t="inlineStr">
        <is>
          <t>S06</t>
        </is>
      </c>
      <c r="C811" t="inlineStr">
        <is>
          <t>PZ-B</t>
        </is>
      </c>
      <c r="D811" t="n">
        <v>6</v>
      </c>
      <c r="E811" t="inlineStr">
        <is>
          <t>H0791</t>
        </is>
      </c>
      <c r="F811" t="inlineStr">
        <is>
          <t>桃園市龍潭區中興路九龍段80號</t>
        </is>
      </c>
      <c r="G811" t="n">
        <v>24.880475</v>
      </c>
      <c r="H811" t="n">
        <v>121.249014</v>
      </c>
      <c r="I811" t="n">
        <v>8</v>
      </c>
      <c r="J811" t="n">
        <v>5.4</v>
      </c>
      <c r="K811" t="n">
        <v>84.7</v>
      </c>
      <c r="L811" t="inlineStr">
        <is>
          <t>Primary</t>
        </is>
      </c>
    </row>
    <row r="812">
      <c r="A812" t="n">
        <v>2</v>
      </c>
      <c r="B812" s="26" t="inlineStr">
        <is>
          <t>S06</t>
        </is>
      </c>
      <c r="C812" t="inlineStr">
        <is>
          <t>PZ-B</t>
        </is>
      </c>
      <c r="D812" t="n">
        <v>7</v>
      </c>
      <c r="E812" t="inlineStr">
        <is>
          <t>H0278</t>
        </is>
      </c>
      <c r="F812" t="inlineStr">
        <is>
          <t>桃園市大溪區(龍潭區)員林路三段380巷口</t>
        </is>
      </c>
      <c r="G812" t="n">
        <v>24.877961</v>
      </c>
      <c r="H812" t="n">
        <v>121.250703</v>
      </c>
      <c r="I812" t="n">
        <v>8</v>
      </c>
      <c r="J812" t="n">
        <v>3</v>
      </c>
      <c r="K812" t="n">
        <v>95.7</v>
      </c>
      <c r="L812" t="inlineStr">
        <is>
          <t>Primary</t>
        </is>
      </c>
    </row>
    <row r="813">
      <c r="A813" t="n">
        <v>2</v>
      </c>
      <c r="B813" s="26" t="inlineStr">
        <is>
          <t>S06</t>
        </is>
      </c>
      <c r="C813" t="inlineStr">
        <is>
          <t>PZ-B</t>
        </is>
      </c>
      <c r="D813" t="n">
        <v>8</v>
      </c>
      <c r="E813" t="inlineStr">
        <is>
          <t>H0287</t>
        </is>
      </c>
      <c r="F813" t="inlineStr">
        <is>
          <t>桃園市大溪區石園路276巷7號旁-自行定位</t>
        </is>
      </c>
      <c r="G813" t="n">
        <v>24.87427</v>
      </c>
      <c r="H813" t="n">
        <v>121.262242</v>
      </c>
      <c r="I813" t="n">
        <v>8</v>
      </c>
      <c r="J813" t="n">
        <v>3</v>
      </c>
      <c r="K813" t="n">
        <v>106.7</v>
      </c>
      <c r="L813" t="inlineStr">
        <is>
          <t>Primary</t>
        </is>
      </c>
    </row>
    <row r="814">
      <c r="A814" t="n">
        <v>2</v>
      </c>
      <c r="B814" s="26" t="inlineStr">
        <is>
          <t>S06</t>
        </is>
      </c>
      <c r="C814" t="inlineStr">
        <is>
          <t>PZ-B</t>
        </is>
      </c>
      <c r="D814" t="n">
        <v>9</v>
      </c>
      <c r="E814" t="inlineStr">
        <is>
          <t>H0289</t>
        </is>
      </c>
      <c r="F814" t="inlineStr">
        <is>
          <t>桃園市大溪區石園路75號-國防大學</t>
        </is>
      </c>
      <c r="G814" t="n">
        <v>24.87422066666666</v>
      </c>
      <c r="H814" t="n">
        <v>121.2646696666667</v>
      </c>
      <c r="I814" t="n">
        <v>24</v>
      </c>
      <c r="J814" t="n">
        <v>3</v>
      </c>
      <c r="K814" t="n">
        <v>133.7</v>
      </c>
      <c r="L814" t="inlineStr">
        <is>
          <t>Primary</t>
        </is>
      </c>
    </row>
    <row r="815">
      <c r="A815" t="n">
        <v>2</v>
      </c>
      <c r="B815" s="26" t="inlineStr">
        <is>
          <t>S06</t>
        </is>
      </c>
      <c r="C815" t="inlineStr">
        <is>
          <t>PZ-B</t>
        </is>
      </c>
      <c r="D815" t="n">
        <v>10</v>
      </c>
      <c r="E815" t="inlineStr">
        <is>
          <t>H0288</t>
        </is>
      </c>
      <c r="F815" t="inlineStr">
        <is>
          <t>桃園市大溪區石園路327號旁工地-原地址大溪區石園路75號-國防大學</t>
        </is>
      </c>
      <c r="G815" t="n">
        <v>24.875236</v>
      </c>
      <c r="H815" t="n">
        <v>121.265181</v>
      </c>
      <c r="I815" t="n">
        <v>16</v>
      </c>
      <c r="J815" t="n">
        <v>3</v>
      </c>
      <c r="K815" t="n">
        <v>152.7</v>
      </c>
      <c r="L815" t="inlineStr">
        <is>
          <t>Primary</t>
        </is>
      </c>
    </row>
    <row r="816">
      <c r="A816" t="n">
        <v>2</v>
      </c>
      <c r="B816" s="26" t="inlineStr">
        <is>
          <t>S06</t>
        </is>
      </c>
      <c r="C816" t="inlineStr">
        <is>
          <t>PZ-B</t>
        </is>
      </c>
      <c r="D816" t="n">
        <v>11</v>
      </c>
      <c r="E816" t="inlineStr">
        <is>
          <t>H0302</t>
        </is>
      </c>
      <c r="F816" t="inlineStr">
        <is>
          <t>桃園市大溪區員林路二段450號-員樹林國小</t>
        </is>
      </c>
      <c r="G816" t="n">
        <v>24.883725</v>
      </c>
      <c r="H816" t="n">
        <v>121.265336</v>
      </c>
      <c r="I816" t="n">
        <v>16</v>
      </c>
      <c r="J816" t="n">
        <v>3</v>
      </c>
      <c r="K816" t="n">
        <v>171.7</v>
      </c>
      <c r="L816" t="inlineStr">
        <is>
          <t>Primary</t>
        </is>
      </c>
    </row>
    <row r="817">
      <c r="A817" t="n">
        <v>2</v>
      </c>
      <c r="B817" s="26" t="inlineStr">
        <is>
          <t>S06</t>
        </is>
      </c>
      <c r="C817" t="inlineStr">
        <is>
          <t>PZ-B</t>
        </is>
      </c>
      <c r="D817" t="n">
        <v>12</v>
      </c>
      <c r="E817" t="inlineStr">
        <is>
          <t>H0327</t>
        </is>
      </c>
      <c r="F817" t="inlineStr">
        <is>
          <t>桃園市大溪區齋明街24號對面工地</t>
        </is>
      </c>
      <c r="G817" t="n">
        <v>24.885664</v>
      </c>
      <c r="H817" t="n">
        <v>121.270336</v>
      </c>
      <c r="I817" t="n">
        <v>8</v>
      </c>
      <c r="J817" t="n">
        <v>3</v>
      </c>
      <c r="K817" t="n">
        <v>182.7</v>
      </c>
      <c r="L817" t="inlineStr">
        <is>
          <t>Primary</t>
        </is>
      </c>
    </row>
    <row r="818">
      <c r="A818" t="n">
        <v>2</v>
      </c>
      <c r="B818" s="26" t="inlineStr">
        <is>
          <t>S06</t>
        </is>
      </c>
      <c r="C818" t="inlineStr">
        <is>
          <t>PZ-B</t>
        </is>
      </c>
      <c r="D818" t="n">
        <v>13</v>
      </c>
      <c r="E818" t="inlineStr">
        <is>
          <t>H0320</t>
        </is>
      </c>
      <c r="F818" t="inlineStr">
        <is>
          <t>桃園市大溪區瑞安路一段188號旁</t>
        </is>
      </c>
      <c r="G818" t="n">
        <v>24.887989</v>
      </c>
      <c r="H818" t="n">
        <v>121.279059</v>
      </c>
      <c r="I818" t="n">
        <v>8</v>
      </c>
      <c r="J818" t="n">
        <v>3</v>
      </c>
      <c r="K818" t="n">
        <v>193.7</v>
      </c>
      <c r="L818" t="inlineStr">
        <is>
          <t>Primary</t>
        </is>
      </c>
    </row>
    <row r="819">
      <c r="A819" t="n">
        <v>2</v>
      </c>
      <c r="B819" s="26" t="inlineStr">
        <is>
          <t>S06</t>
        </is>
      </c>
      <c r="C819" t="inlineStr">
        <is>
          <t>PZ-B</t>
        </is>
      </c>
      <c r="D819" t="n">
        <v>14</v>
      </c>
      <c r="E819" t="inlineStr">
        <is>
          <t>H0292</t>
        </is>
      </c>
      <c r="F819" t="inlineStr">
        <is>
          <t>桃園市大溪區忠孝路27號</t>
        </is>
      </c>
      <c r="G819" t="n">
        <v>24.883772</v>
      </c>
      <c r="H819" t="n">
        <v>121.289819</v>
      </c>
      <c r="I819" t="n">
        <v>8</v>
      </c>
      <c r="J819" t="n">
        <v>3</v>
      </c>
      <c r="K819" t="n">
        <v>204.7</v>
      </c>
      <c r="L819" t="inlineStr">
        <is>
          <t>Primary</t>
        </is>
      </c>
    </row>
    <row r="820">
      <c r="A820" t="n">
        <v>2</v>
      </c>
      <c r="B820" s="26" t="inlineStr">
        <is>
          <t>S06</t>
        </is>
      </c>
      <c r="C820" t="inlineStr">
        <is>
          <t>PZ-B</t>
        </is>
      </c>
      <c r="D820" t="n">
        <v>15</v>
      </c>
      <c r="E820" t="inlineStr">
        <is>
          <t>H0291</t>
        </is>
      </c>
      <c r="F820" t="inlineStr">
        <is>
          <t>桃園市大溪區和二路29巷14號旁</t>
        </is>
      </c>
      <c r="G820" t="n">
        <v>24.8825</v>
      </c>
      <c r="H820" t="n">
        <v>121.291991</v>
      </c>
      <c r="I820" t="n">
        <v>8</v>
      </c>
      <c r="J820" t="n">
        <v>3</v>
      </c>
      <c r="K820" t="n">
        <v>215.7</v>
      </c>
      <c r="L820" t="inlineStr">
        <is>
          <t>Primary</t>
        </is>
      </c>
    </row>
    <row r="821">
      <c r="A821" t="n">
        <v>2</v>
      </c>
      <c r="B821" s="26" t="inlineStr">
        <is>
          <t>S06</t>
        </is>
      </c>
      <c r="C821" t="inlineStr">
        <is>
          <t>PZ-B</t>
        </is>
      </c>
      <c r="D821" t="n">
        <v>16</v>
      </c>
      <c r="E821" t="inlineStr">
        <is>
          <t>H0312</t>
        </is>
      </c>
      <c r="F821" t="inlineStr">
        <is>
          <t>桃園市大溪區復興路119號</t>
        </is>
      </c>
      <c r="G821" t="n">
        <v>24.879356</v>
      </c>
      <c r="H821" t="n">
        <v>121.292047</v>
      </c>
      <c r="I821" t="n">
        <v>16</v>
      </c>
      <c r="J821" t="n">
        <v>3</v>
      </c>
      <c r="K821" t="n">
        <v>234.7</v>
      </c>
      <c r="L821" t="inlineStr">
        <is>
          <t>Primary</t>
        </is>
      </c>
    </row>
    <row r="822">
      <c r="A822" t="n">
        <v>2</v>
      </c>
      <c r="B822" s="26" t="inlineStr">
        <is>
          <t>S06</t>
        </is>
      </c>
      <c r="C822" t="inlineStr">
        <is>
          <t>PZ-B</t>
        </is>
      </c>
      <c r="D822" t="n">
        <v>17</v>
      </c>
      <c r="E822" t="inlineStr">
        <is>
          <t>H0310</t>
        </is>
      </c>
      <c r="F822" t="inlineStr">
        <is>
          <t>桃園市大溪區康莊路405巷</t>
        </is>
      </c>
      <c r="G822" t="n">
        <v>24.874442</v>
      </c>
      <c r="H822" t="n">
        <v>121.286558</v>
      </c>
      <c r="I822" t="n">
        <v>8</v>
      </c>
      <c r="J822" t="n">
        <v>3</v>
      </c>
      <c r="K822" t="n">
        <v>245.7</v>
      </c>
      <c r="L822" t="inlineStr">
        <is>
          <t>Primary</t>
        </is>
      </c>
    </row>
    <row r="823">
      <c r="A823" t="n">
        <v>2</v>
      </c>
      <c r="B823" s="26" t="inlineStr">
        <is>
          <t>S06</t>
        </is>
      </c>
      <c r="C823" t="inlineStr">
        <is>
          <t>PZ-B</t>
        </is>
      </c>
      <c r="D823" t="n">
        <v>18</v>
      </c>
      <c r="E823" t="inlineStr">
        <is>
          <t>H0314</t>
        </is>
      </c>
      <c r="F823" t="inlineStr">
        <is>
          <t>桃園市大溪區復興路一段28巷39號工地-頭寮從三層古道進去</t>
        </is>
      </c>
      <c r="G823" t="n">
        <v>24.868986</v>
      </c>
      <c r="H823" t="n">
        <v>121.292747</v>
      </c>
      <c r="I823" t="n">
        <v>8</v>
      </c>
      <c r="J823" t="n">
        <v>3</v>
      </c>
      <c r="K823" t="n">
        <v>256.7</v>
      </c>
      <c r="L823" t="inlineStr">
        <is>
          <t>Primary</t>
        </is>
      </c>
    </row>
    <row r="824">
      <c r="A824" t="n">
        <v>2</v>
      </c>
      <c r="B824" s="26" t="inlineStr">
        <is>
          <t>S06</t>
        </is>
      </c>
      <c r="C824" t="inlineStr">
        <is>
          <t>PZ-B</t>
        </is>
      </c>
      <c r="D824" t="n">
        <v>19</v>
      </c>
      <c r="E824" t="inlineStr">
        <is>
          <t>H0285</t>
        </is>
      </c>
      <c r="F824" t="inlineStr">
        <is>
          <t>桃園市大溪區內柵路一段79巷15號旁工地</t>
        </is>
      </c>
      <c r="G824" t="n">
        <v>24.858786</v>
      </c>
      <c r="H824" t="n">
        <v>121.282139</v>
      </c>
      <c r="I824" t="n">
        <v>8</v>
      </c>
      <c r="J824" t="n">
        <v>3.7</v>
      </c>
      <c r="K824" t="n">
        <v>268.4</v>
      </c>
      <c r="L824" t="inlineStr">
        <is>
          <t>Primary</t>
        </is>
      </c>
    </row>
    <row r="825">
      <c r="A825" t="n">
        <v>2</v>
      </c>
      <c r="B825" s="26" t="inlineStr">
        <is>
          <t>S06</t>
        </is>
      </c>
      <c r="C825" t="inlineStr">
        <is>
          <t>PZ-B</t>
        </is>
      </c>
      <c r="D825" t="n">
        <v>20</v>
      </c>
      <c r="E825" t="inlineStr">
        <is>
          <t>H0803</t>
        </is>
      </c>
      <c r="F825" t="inlineStr">
        <is>
          <t>桃園市龍潭區永福段2002-90地號-附地標</t>
        </is>
      </c>
      <c r="G825" t="n">
        <v>24.857614</v>
      </c>
      <c r="H825" t="n">
        <v>121.263917</v>
      </c>
      <c r="I825" t="n">
        <v>8</v>
      </c>
      <c r="J825" t="n">
        <v>4.4</v>
      </c>
      <c r="K825" t="n">
        <v>280.9</v>
      </c>
      <c r="L825" t="inlineStr">
        <is>
          <t>Primary</t>
        </is>
      </c>
    </row>
    <row r="826">
      <c r="A826" t="n">
        <v>2</v>
      </c>
      <c r="B826" s="26" t="inlineStr">
        <is>
          <t>S06</t>
        </is>
      </c>
      <c r="C826" t="inlineStr">
        <is>
          <t>PZ-B</t>
        </is>
      </c>
      <c r="D826" t="n">
        <v>21</v>
      </c>
      <c r="E826" t="inlineStr">
        <is>
          <t>H0794</t>
        </is>
      </c>
      <c r="F826" t="inlineStr">
        <is>
          <t>桃園市龍潭區文化路1095號對面</t>
        </is>
      </c>
      <c r="G826" t="n">
        <v>24.858314</v>
      </c>
      <c r="H826" t="n">
        <v>121.251256</v>
      </c>
      <c r="I826" t="n">
        <v>32</v>
      </c>
      <c r="J826" t="n">
        <v>3.1</v>
      </c>
      <c r="K826" t="n">
        <v>315.9</v>
      </c>
      <c r="L826" t="inlineStr">
        <is>
          <t>Primary</t>
        </is>
      </c>
    </row>
    <row r="827">
      <c r="A827" t="n">
        <v>2</v>
      </c>
      <c r="B827" s="26" t="inlineStr">
        <is>
          <t>S06</t>
        </is>
      </c>
      <c r="C827" t="inlineStr">
        <is>
          <t>PZ-B</t>
        </is>
      </c>
      <c r="D827" t="n">
        <v>22</v>
      </c>
      <c r="E827" t="inlineStr">
        <is>
          <t>H0794</t>
        </is>
      </c>
      <c r="F827" t="inlineStr">
        <is>
          <t>桃園市龍潭區文化路1095號對面</t>
        </is>
      </c>
      <c r="G827" t="n">
        <v>24.8583754</v>
      </c>
      <c r="H827" t="n">
        <v>121.2506527</v>
      </c>
      <c r="I827" t="n">
        <v>32</v>
      </c>
      <c r="J827" t="n">
        <v>2</v>
      </c>
      <c r="K827" t="n">
        <v>349.9</v>
      </c>
      <c r="L827" t="inlineStr">
        <is>
          <t>Primary</t>
        </is>
      </c>
    </row>
    <row r="828">
      <c r="A828" t="n">
        <v>2</v>
      </c>
      <c r="B828" s="26" t="inlineStr">
        <is>
          <t>S06</t>
        </is>
      </c>
      <c r="C828" t="inlineStr">
        <is>
          <t>PZ-B</t>
        </is>
      </c>
      <c r="D828" t="n">
        <v>23</v>
      </c>
      <c r="E828" t="inlineStr">
        <is>
          <t>H0277</t>
        </is>
      </c>
      <c r="F828" t="inlineStr">
        <is>
          <t>桃園市大溪區(龍潭區)石園路828號附近-電聯帶定位</t>
        </is>
      </c>
      <c r="G828" t="n">
        <v>24.862125</v>
      </c>
      <c r="H828" t="n">
        <v>121.250867</v>
      </c>
      <c r="I828" t="n">
        <v>8</v>
      </c>
      <c r="J828" t="n">
        <v>3</v>
      </c>
      <c r="K828" t="n">
        <v>360.9</v>
      </c>
      <c r="L828" t="inlineStr">
        <is>
          <t>Primary</t>
        </is>
      </c>
    </row>
    <row r="829">
      <c r="A829" t="n">
        <v>2</v>
      </c>
      <c r="B829" s="26" t="inlineStr">
        <is>
          <t>S06</t>
        </is>
      </c>
      <c r="C829" t="inlineStr">
        <is>
          <t>PZ-B</t>
        </is>
      </c>
      <c r="D829" t="n">
        <v>24</v>
      </c>
      <c r="E829" t="inlineStr">
        <is>
          <t>H0788</t>
        </is>
      </c>
      <c r="F829" t="inlineStr">
        <is>
          <t>桃園市龍潭區中正路佳安段481號-中科院229館-需要人車換證</t>
        </is>
      </c>
      <c r="G829" t="n">
        <v>24.850403</v>
      </c>
      <c r="H829" t="n">
        <v>121.248672</v>
      </c>
      <c r="I829" t="n">
        <v>40</v>
      </c>
      <c r="J829" t="n">
        <v>3.2</v>
      </c>
      <c r="K829" t="n">
        <v>404.1</v>
      </c>
      <c r="L829" t="inlineStr">
        <is>
          <t>Primary</t>
        </is>
      </c>
    </row>
    <row r="830">
      <c r="A830" t="n">
        <v>2</v>
      </c>
      <c r="B830" s="26" t="inlineStr">
        <is>
          <t>S06</t>
        </is>
      </c>
      <c r="C830" t="inlineStr">
        <is>
          <t>PZ-B</t>
        </is>
      </c>
      <c r="D830" t="n">
        <v>25</v>
      </c>
      <c r="E830" t="inlineStr">
        <is>
          <t>H0804</t>
        </is>
      </c>
      <c r="F830" t="inlineStr">
        <is>
          <t>桃園市龍潭區永福路附近</t>
        </is>
      </c>
      <c r="G830" t="n">
        <v>24.843619</v>
      </c>
      <c r="H830" t="n">
        <v>121.259086</v>
      </c>
      <c r="I830" t="n">
        <v>8</v>
      </c>
      <c r="J830" t="n">
        <v>3.1</v>
      </c>
      <c r="K830" t="n">
        <v>415.2</v>
      </c>
      <c r="L830" t="inlineStr">
        <is>
          <t>Primary</t>
        </is>
      </c>
    </row>
    <row r="831">
      <c r="A831" t="n">
        <v>2</v>
      </c>
      <c r="B831" s="26" t="inlineStr">
        <is>
          <t>S06</t>
        </is>
      </c>
      <c r="C831" t="inlineStr">
        <is>
          <t>PZ-B</t>
        </is>
      </c>
      <c r="D831" t="n">
        <v>26</v>
      </c>
      <c r="E831" t="inlineStr">
        <is>
          <t>H0321</t>
        </is>
      </c>
      <c r="F831" t="inlineStr">
        <is>
          <t>桃園市大溪區福山一路161號對面</t>
        </is>
      </c>
      <c r="G831" t="n">
        <v>24.831511</v>
      </c>
      <c r="H831" t="n">
        <v>121.262783</v>
      </c>
      <c r="I831" t="n">
        <v>8</v>
      </c>
      <c r="J831" t="n">
        <v>3.4</v>
      </c>
      <c r="K831" t="n">
        <v>426.6</v>
      </c>
      <c r="L831" t="inlineStr">
        <is>
          <t>Primary</t>
        </is>
      </c>
    </row>
    <row r="832">
      <c r="A832" t="n">
        <v>2</v>
      </c>
      <c r="B832" s="26" t="inlineStr">
        <is>
          <t>S06</t>
        </is>
      </c>
      <c r="C832" t="inlineStr">
        <is>
          <t>PZ-B</t>
        </is>
      </c>
      <c r="D832" t="n">
        <v>27</v>
      </c>
      <c r="E832" t="inlineStr">
        <is>
          <t>H0311</t>
        </is>
      </c>
      <c r="F832" t="inlineStr">
        <is>
          <t>桃園市大溪區康莊路五段545號-位移至工務所旁</t>
        </is>
      </c>
      <c r="G832" t="n">
        <v>24.825709</v>
      </c>
      <c r="H832" t="n">
        <v>121.262711</v>
      </c>
      <c r="I832" t="n">
        <v>8</v>
      </c>
      <c r="J832" t="n">
        <v>3</v>
      </c>
      <c r="K832" t="n">
        <v>437.6</v>
      </c>
      <c r="L832" t="inlineStr">
        <is>
          <t>Primary</t>
        </is>
      </c>
    </row>
    <row r="833">
      <c r="A833" t="n">
        <v>2</v>
      </c>
      <c r="B833" s="26" t="inlineStr">
        <is>
          <t>S06</t>
        </is>
      </c>
      <c r="C833" t="inlineStr">
        <is>
          <t>PZ-B</t>
        </is>
      </c>
      <c r="D833" t="n">
        <v>28</v>
      </c>
      <c r="E833" t="inlineStr">
        <is>
          <t>H0810</t>
        </is>
      </c>
      <c r="F833" t="inlineStr">
        <is>
          <t>桃園市龍潭區後池大橋161號外面工地-電聯定位</t>
        </is>
      </c>
      <c r="G833" t="n">
        <v>24.824611</v>
      </c>
      <c r="H833" t="n">
        <v>121.251442</v>
      </c>
      <c r="I833" t="n">
        <v>8</v>
      </c>
      <c r="J833" t="n">
        <v>3</v>
      </c>
      <c r="K833" t="n">
        <v>448.6</v>
      </c>
      <c r="L833" t="inlineStr">
        <is>
          <t>Primary</t>
        </is>
      </c>
    </row>
    <row r="834">
      <c r="A834" t="n">
        <v>2</v>
      </c>
      <c r="B834" s="26" t="inlineStr">
        <is>
          <t>S06</t>
        </is>
      </c>
      <c r="C834" t="inlineStr">
        <is>
          <t>PZ-B</t>
        </is>
      </c>
      <c r="D834" t="n">
        <v>29</v>
      </c>
      <c r="E834" t="inlineStr">
        <is>
          <t>H0324</t>
        </is>
      </c>
      <c r="F834" t="inlineStr">
        <is>
          <t>桃園市大溪區環湖路一段68號-石門水庫南苑停車場-需通行證進出</t>
        </is>
      </c>
      <c r="G834" t="n">
        <v>24.815867</v>
      </c>
      <c r="H834" t="n">
        <v>121.248894</v>
      </c>
      <c r="I834" t="n">
        <v>48</v>
      </c>
      <c r="J834" t="n">
        <v>3</v>
      </c>
      <c r="K834" t="n">
        <v>499.6</v>
      </c>
      <c r="L834" t="inlineStr">
        <is>
          <t>Primary</t>
        </is>
      </c>
    </row>
    <row r="835">
      <c r="A835" t="n">
        <v>2</v>
      </c>
      <c r="B835" s="26" t="inlineStr">
        <is>
          <t>S06</t>
        </is>
      </c>
      <c r="C835" t="inlineStr">
        <is>
          <t>PZ-B</t>
        </is>
      </c>
      <c r="D835" t="n">
        <v>30</v>
      </c>
      <c r="E835" t="inlineStr">
        <is>
          <t>H0802</t>
        </is>
      </c>
      <c r="F835" t="inlineStr">
        <is>
          <t>桃園市龍潭區永昌路24巷9弄16號對面</t>
        </is>
      </c>
      <c r="G835" t="n">
        <v>24.833886</v>
      </c>
      <c r="H835" t="n">
        <v>121.247305</v>
      </c>
      <c r="I835" t="n">
        <v>8</v>
      </c>
      <c r="J835" t="n">
        <v>4.8</v>
      </c>
      <c r="K835" t="n">
        <v>512.4</v>
      </c>
      <c r="L835" t="inlineStr">
        <is>
          <t>Primary</t>
        </is>
      </c>
    </row>
    <row r="836">
      <c r="A836" t="n">
        <v>2</v>
      </c>
      <c r="B836" s="26" t="inlineStr">
        <is>
          <t>S06</t>
        </is>
      </c>
      <c r="C836" t="inlineStr">
        <is>
          <t>PZ-B</t>
        </is>
      </c>
      <c r="D836" t="n">
        <v>31</v>
      </c>
      <c r="E836" t="inlineStr">
        <is>
          <t>H0511</t>
        </is>
      </c>
      <c r="F836" t="inlineStr">
        <is>
          <t>桃園市平鎮區南京路12巷75號</t>
        </is>
      </c>
      <c r="G836" t="n">
        <v>24.918864</v>
      </c>
      <c r="H836" t="n">
        <v>121.210231</v>
      </c>
      <c r="I836" t="n">
        <v>8</v>
      </c>
      <c r="J836" t="n">
        <v>10.2</v>
      </c>
      <c r="K836" t="n">
        <v>530.5</v>
      </c>
      <c r="L836" t="inlineStr">
        <is>
          <t>Primary</t>
        </is>
      </c>
    </row>
    <row r="837">
      <c r="A837" t="n">
        <v>3</v>
      </c>
      <c r="B837" s="26" t="inlineStr">
        <is>
          <t>S06</t>
        </is>
      </c>
      <c r="C837" t="inlineStr">
        <is>
          <t>PZ-B</t>
        </is>
      </c>
      <c r="D837" t="n">
        <v>1</v>
      </c>
      <c r="E837" t="inlineStr">
        <is>
          <t>H0792</t>
        </is>
      </c>
      <c r="F837" t="inlineStr">
        <is>
          <t>桃園市龍潭區中豐路504巷</t>
        </is>
      </c>
      <c r="G837" t="n">
        <v>24.883303</v>
      </c>
      <c r="H837" t="n">
        <v>121.213036</v>
      </c>
      <c r="I837" t="n">
        <v>8</v>
      </c>
      <c r="J837" t="n">
        <v>7.1</v>
      </c>
      <c r="K837" t="n">
        <v>15.1</v>
      </c>
      <c r="L837" t="inlineStr">
        <is>
          <t>Primary</t>
        </is>
      </c>
    </row>
    <row r="838">
      <c r="A838" t="n">
        <v>3</v>
      </c>
      <c r="B838" s="26" t="inlineStr">
        <is>
          <t>S06</t>
        </is>
      </c>
      <c r="C838" t="inlineStr">
        <is>
          <t>PZ-B</t>
        </is>
      </c>
      <c r="D838" t="n">
        <v>2</v>
      </c>
      <c r="E838" t="inlineStr">
        <is>
          <t>H0822</t>
        </is>
      </c>
      <c r="F838" t="inlineStr">
        <is>
          <t>桃園市龍潭區聖亭路300巷208號旁</t>
        </is>
      </c>
      <c r="G838" t="n">
        <v>24.873664</v>
      </c>
      <c r="H838" t="n">
        <v>121.208442</v>
      </c>
      <c r="I838" t="n">
        <v>8</v>
      </c>
      <c r="J838" t="n">
        <v>3</v>
      </c>
      <c r="K838" t="n">
        <v>26.1</v>
      </c>
      <c r="L838" t="inlineStr">
        <is>
          <t>Primary</t>
        </is>
      </c>
    </row>
    <row r="839">
      <c r="A839" t="n">
        <v>3</v>
      </c>
      <c r="B839" s="26" t="inlineStr">
        <is>
          <t>S06</t>
        </is>
      </c>
      <c r="C839" t="inlineStr">
        <is>
          <t>PZ-B</t>
        </is>
      </c>
      <c r="D839" t="n">
        <v>3</v>
      </c>
      <c r="E839" t="inlineStr">
        <is>
          <t>H0821</t>
        </is>
      </c>
      <c r="F839" t="inlineStr">
        <is>
          <t>桃園市龍潭區聖亭路11巷37號</t>
        </is>
      </c>
      <c r="G839" t="n">
        <v>24.873573</v>
      </c>
      <c r="H839" t="n">
        <v>121.200878</v>
      </c>
      <c r="I839" t="n">
        <v>8</v>
      </c>
      <c r="J839" t="n">
        <v>3</v>
      </c>
      <c r="K839" t="n">
        <v>37.1</v>
      </c>
      <c r="L839" t="inlineStr">
        <is>
          <t>Primary</t>
        </is>
      </c>
    </row>
    <row r="840">
      <c r="A840" t="n">
        <v>3</v>
      </c>
      <c r="B840" s="26" t="inlineStr">
        <is>
          <t>S06</t>
        </is>
      </c>
      <c r="C840" t="inlineStr">
        <is>
          <t>PZ-B</t>
        </is>
      </c>
      <c r="D840" t="n">
        <v>4</v>
      </c>
      <c r="E840" t="inlineStr">
        <is>
          <t>H0814</t>
        </is>
      </c>
      <c r="F840" t="inlineStr">
        <is>
          <t>桃園市龍潭區梅龍路515巷進去大約200公尺有帆布-附定位圖</t>
        </is>
      </c>
      <c r="G840" t="n">
        <v>24.875125</v>
      </c>
      <c r="H840" t="n">
        <v>121.190575</v>
      </c>
      <c r="I840" t="n">
        <v>8</v>
      </c>
      <c r="J840" t="n">
        <v>3</v>
      </c>
      <c r="K840" t="n">
        <v>48.1</v>
      </c>
      <c r="L840" t="inlineStr">
        <is>
          <t>Primary</t>
        </is>
      </c>
    </row>
    <row r="841">
      <c r="A841" t="n">
        <v>3</v>
      </c>
      <c r="B841" s="26" t="inlineStr">
        <is>
          <t>S06</t>
        </is>
      </c>
      <c r="C841" t="inlineStr">
        <is>
          <t>PZ-B</t>
        </is>
      </c>
      <c r="D841" t="n">
        <v>5</v>
      </c>
      <c r="E841" t="inlineStr">
        <is>
          <t>H0830</t>
        </is>
      </c>
      <c r="F841" t="inlineStr">
        <is>
          <t>桃園市龍潭區龍新路365號</t>
        </is>
      </c>
      <c r="G841" t="n">
        <v>24.861139</v>
      </c>
      <c r="H841" t="n">
        <v>121.194189</v>
      </c>
      <c r="I841" t="n">
        <v>8</v>
      </c>
      <c r="J841" t="n">
        <v>3.8</v>
      </c>
      <c r="K841" t="n">
        <v>59.9</v>
      </c>
      <c r="L841" t="inlineStr">
        <is>
          <t>Primary</t>
        </is>
      </c>
    </row>
    <row r="842">
      <c r="A842" t="n">
        <v>3</v>
      </c>
      <c r="B842" s="26" t="inlineStr">
        <is>
          <t>S06</t>
        </is>
      </c>
      <c r="C842" t="inlineStr">
        <is>
          <t>PZ-B</t>
        </is>
      </c>
      <c r="D842" t="n">
        <v>6</v>
      </c>
      <c r="E842" t="inlineStr">
        <is>
          <t>H0784</t>
        </is>
      </c>
      <c r="F842" t="inlineStr">
        <is>
          <t>桃園市龍潭區三林段富華街395巷61號</t>
        </is>
      </c>
      <c r="G842" t="n">
        <v>24.838633</v>
      </c>
      <c r="H842" t="n">
        <v>121.228528</v>
      </c>
      <c r="I842" t="n">
        <v>8</v>
      </c>
      <c r="J842" t="n">
        <v>10.3</v>
      </c>
      <c r="K842" t="n">
        <v>78.2</v>
      </c>
      <c r="L842" t="inlineStr">
        <is>
          <t>Primary</t>
        </is>
      </c>
    </row>
    <row r="843">
      <c r="A843" t="n">
        <v>3</v>
      </c>
      <c r="B843" s="26" t="inlineStr">
        <is>
          <t>S06</t>
        </is>
      </c>
      <c r="C843" t="inlineStr">
        <is>
          <t>PZ-B</t>
        </is>
      </c>
      <c r="D843" t="n">
        <v>7</v>
      </c>
      <c r="E843" t="inlineStr">
        <is>
          <t>H0783</t>
        </is>
      </c>
      <c r="F843" t="inlineStr">
        <is>
          <t>桃園市龍潭區八德路(石園二村)-附座標</t>
        </is>
      </c>
      <c r="G843" t="n">
        <v>24.831381</v>
      </c>
      <c r="H843" t="n">
        <v>121.236725</v>
      </c>
      <c r="I843" t="n">
        <v>8</v>
      </c>
      <c r="J843" t="n">
        <v>3</v>
      </c>
      <c r="K843" t="n">
        <v>89.2</v>
      </c>
      <c r="L843" t="inlineStr">
        <is>
          <t>Primary</t>
        </is>
      </c>
    </row>
    <row r="844">
      <c r="A844" t="n">
        <v>3</v>
      </c>
      <c r="B844" s="26" t="inlineStr">
        <is>
          <t>S06</t>
        </is>
      </c>
      <c r="C844" t="inlineStr">
        <is>
          <t>PZ-B</t>
        </is>
      </c>
      <c r="D844" t="n">
        <v>8</v>
      </c>
      <c r="E844" t="inlineStr">
        <is>
          <t>H0323</t>
        </is>
      </c>
      <c r="F844" t="inlineStr">
        <is>
          <t>桃園市大溪區頭寮路276巷75-1號-香光山寺</t>
        </is>
      </c>
      <c r="G844" t="n">
        <v>24.836133</v>
      </c>
      <c r="H844" t="n">
        <v>121.276692</v>
      </c>
      <c r="I844" t="n">
        <v>8</v>
      </c>
      <c r="J844" t="n">
        <v>9.800000000000001</v>
      </c>
      <c r="K844" t="n">
        <v>107</v>
      </c>
      <c r="L844" t="inlineStr">
        <is>
          <t>Primary</t>
        </is>
      </c>
    </row>
    <row r="845">
      <c r="A845" t="n">
        <v>3</v>
      </c>
      <c r="B845" s="26" t="inlineStr">
        <is>
          <t>S06</t>
        </is>
      </c>
      <c r="C845" t="inlineStr">
        <is>
          <t>PZ-B</t>
        </is>
      </c>
      <c r="D845" t="n">
        <v>9</v>
      </c>
      <c r="E845" t="inlineStr">
        <is>
          <t>H0313</t>
        </is>
      </c>
      <c r="F845" t="inlineStr">
        <is>
          <t>桃園市大溪區復興路一段1097號-停車場工地</t>
        </is>
      </c>
      <c r="G845" t="n">
        <v>24.840141</v>
      </c>
      <c r="H845" t="n">
        <v>121.295008</v>
      </c>
      <c r="I845" t="n">
        <v>8</v>
      </c>
      <c r="J845" t="n">
        <v>4.6</v>
      </c>
      <c r="K845" t="n">
        <v>119.5</v>
      </c>
      <c r="L845" t="inlineStr">
        <is>
          <t>Primary</t>
        </is>
      </c>
    </row>
    <row r="846">
      <c r="A846" t="n">
        <v>3</v>
      </c>
      <c r="B846" s="26" t="inlineStr">
        <is>
          <t>S06</t>
        </is>
      </c>
      <c r="C846" t="inlineStr">
        <is>
          <t>PZ-B</t>
        </is>
      </c>
      <c r="D846" t="n">
        <v>10</v>
      </c>
      <c r="E846" t="inlineStr">
        <is>
          <t>H0296</t>
        </is>
      </c>
      <c r="F846" t="inlineStr">
        <is>
          <t>桃園市大溪區信義路228號</t>
        </is>
      </c>
      <c r="G846" t="n">
        <v>24.885808</v>
      </c>
      <c r="H846" t="n">
        <v>121.2954</v>
      </c>
      <c r="I846" t="n">
        <v>16</v>
      </c>
      <c r="J846" t="n">
        <v>12.2</v>
      </c>
      <c r="K846" t="n">
        <v>147.7</v>
      </c>
      <c r="L846" t="inlineStr">
        <is>
          <t>Primary</t>
        </is>
      </c>
    </row>
    <row r="847">
      <c r="A847" t="n">
        <v>3</v>
      </c>
      <c r="B847" s="26" t="inlineStr">
        <is>
          <t>S06</t>
        </is>
      </c>
      <c r="C847" t="inlineStr">
        <is>
          <t>PZ-B</t>
        </is>
      </c>
      <c r="D847" t="n">
        <v>11</v>
      </c>
      <c r="E847" t="inlineStr">
        <is>
          <t>H0319</t>
        </is>
      </c>
      <c r="F847" t="inlineStr">
        <is>
          <t>桃園市大溪區瑞仁路92巷1號旁邊工地</t>
        </is>
      </c>
      <c r="G847" t="n">
        <v>24.897558</v>
      </c>
      <c r="H847" t="n">
        <v>121.286955</v>
      </c>
      <c r="I847" t="n">
        <v>8</v>
      </c>
      <c r="J847" t="n">
        <v>3.7</v>
      </c>
      <c r="K847" t="n">
        <v>159.4</v>
      </c>
      <c r="L847" t="inlineStr">
        <is>
          <t>Primary</t>
        </is>
      </c>
    </row>
    <row r="848">
      <c r="A848" t="n">
        <v>3</v>
      </c>
      <c r="B848" s="26" t="inlineStr">
        <is>
          <t>S06</t>
        </is>
      </c>
      <c r="C848" t="inlineStr">
        <is>
          <t>PZ-B</t>
        </is>
      </c>
      <c r="D848" t="n">
        <v>12</v>
      </c>
      <c r="E848" t="inlineStr">
        <is>
          <t>H0309</t>
        </is>
      </c>
      <c r="F848" t="inlineStr">
        <is>
          <t>桃園市大溪區埔頂路二段335號之一</t>
        </is>
      </c>
      <c r="G848" t="n">
        <v>24.914336</v>
      </c>
      <c r="H848" t="n">
        <v>121.280595</v>
      </c>
      <c r="I848" t="n">
        <v>8</v>
      </c>
      <c r="J848" t="n">
        <v>4.7</v>
      </c>
      <c r="K848" t="n">
        <v>172.2</v>
      </c>
      <c r="L848" t="inlineStr">
        <is>
          <t>Primary</t>
        </is>
      </c>
    </row>
    <row r="849">
      <c r="A849" t="n">
        <v>3</v>
      </c>
      <c r="B849" s="26" t="inlineStr">
        <is>
          <t>S06</t>
        </is>
      </c>
      <c r="C849" t="inlineStr">
        <is>
          <t>PZ-B</t>
        </is>
      </c>
      <c r="D849" t="n">
        <v>13</v>
      </c>
      <c r="E849" t="inlineStr">
        <is>
          <t>H0034</t>
        </is>
      </c>
      <c r="F849" t="inlineStr">
        <is>
          <t>桃園市八德區建德路興豐路路口-電聯定位</t>
        </is>
      </c>
      <c r="G849" t="n">
        <v>24.92917</v>
      </c>
      <c r="H849" t="n">
        <v>121.2811585</v>
      </c>
      <c r="I849" t="n">
        <v>32</v>
      </c>
      <c r="J849" t="n">
        <v>4</v>
      </c>
      <c r="K849" t="n">
        <v>208.1</v>
      </c>
      <c r="L849" t="inlineStr">
        <is>
          <t>Primary</t>
        </is>
      </c>
    </row>
    <row r="850">
      <c r="A850" t="n">
        <v>3</v>
      </c>
      <c r="B850" s="26" t="inlineStr">
        <is>
          <t>S06</t>
        </is>
      </c>
      <c r="C850" t="inlineStr">
        <is>
          <t>PZ-B</t>
        </is>
      </c>
      <c r="D850" t="n">
        <v>14</v>
      </c>
      <c r="E850" t="inlineStr">
        <is>
          <t>H0032</t>
        </is>
      </c>
      <c r="F850" t="inlineStr">
        <is>
          <t>桃園市八德區建德路&amp;中正一路交叉街口</t>
        </is>
      </c>
      <c r="G850" t="n">
        <v>24.9301931</v>
      </c>
      <c r="H850" t="n">
        <v>121.2809502</v>
      </c>
      <c r="I850" t="n">
        <v>16</v>
      </c>
      <c r="J850" t="n">
        <v>3</v>
      </c>
      <c r="K850" t="n">
        <v>227.1</v>
      </c>
      <c r="L850" t="inlineStr">
        <is>
          <t>Primary</t>
        </is>
      </c>
    </row>
    <row r="851">
      <c r="A851" t="n">
        <v>3</v>
      </c>
      <c r="B851" s="26" t="inlineStr">
        <is>
          <t>S06</t>
        </is>
      </c>
      <c r="C851" t="inlineStr">
        <is>
          <t>PZ-B</t>
        </is>
      </c>
      <c r="D851" t="n">
        <v>15</v>
      </c>
      <c r="E851" t="inlineStr">
        <is>
          <t>H0034</t>
        </is>
      </c>
      <c r="F851" t="inlineStr">
        <is>
          <t>桃園市八德區建德路興豐路路口-電聯定位</t>
        </is>
      </c>
      <c r="G851" t="n">
        <v>24.930556</v>
      </c>
      <c r="H851" t="n">
        <v>121.280931</v>
      </c>
      <c r="I851" t="n">
        <v>32</v>
      </c>
      <c r="J851" t="n">
        <v>2</v>
      </c>
      <c r="K851" t="n">
        <v>261.1</v>
      </c>
      <c r="L851" t="inlineStr">
        <is>
          <t>Primary</t>
        </is>
      </c>
    </row>
    <row r="852">
      <c r="A852" t="n">
        <v>3</v>
      </c>
      <c r="B852" s="26" t="inlineStr">
        <is>
          <t>S06</t>
        </is>
      </c>
      <c r="C852" t="inlineStr">
        <is>
          <t>PZ-B</t>
        </is>
      </c>
      <c r="D852" t="n">
        <v>16</v>
      </c>
      <c r="E852" t="inlineStr">
        <is>
          <t>H0051</t>
        </is>
      </c>
      <c r="F852" t="inlineStr">
        <is>
          <t>桃園市八德區廣興路316巷2號附近(捷運工程工地)-電聯定位</t>
        </is>
      </c>
      <c r="G852" t="n">
        <v>24.929889</v>
      </c>
      <c r="H852" t="n">
        <v>121.280028</v>
      </c>
      <c r="I852" t="n">
        <v>16</v>
      </c>
      <c r="J852" t="n">
        <v>3</v>
      </c>
      <c r="K852" t="n">
        <v>280.1</v>
      </c>
      <c r="L852" t="inlineStr">
        <is>
          <t>Primary</t>
        </is>
      </c>
    </row>
    <row r="853">
      <c r="A853" t="n">
        <v>3</v>
      </c>
      <c r="B853" s="26" t="inlineStr">
        <is>
          <t>S06</t>
        </is>
      </c>
      <c r="C853" t="inlineStr">
        <is>
          <t>PZ-B</t>
        </is>
      </c>
      <c r="D853" t="n">
        <v>17</v>
      </c>
      <c r="E853" t="inlineStr">
        <is>
          <t>H0033</t>
        </is>
      </c>
      <c r="F853" t="inlineStr">
        <is>
          <t>桃園市八德區建德路277號旁工地</t>
        </is>
      </c>
      <c r="G853" t="n">
        <v>24.932636</v>
      </c>
      <c r="H853" t="n">
        <v>121.280903</v>
      </c>
      <c r="I853" t="n">
        <v>8</v>
      </c>
      <c r="J853" t="n">
        <v>3</v>
      </c>
      <c r="K853" t="n">
        <v>291.1</v>
      </c>
      <c r="L853" t="inlineStr">
        <is>
          <t>Primary</t>
        </is>
      </c>
    </row>
    <row r="854">
      <c r="A854" t="n">
        <v>3</v>
      </c>
      <c r="B854" s="26" t="inlineStr">
        <is>
          <t>S06</t>
        </is>
      </c>
      <c r="C854" t="inlineStr">
        <is>
          <t>PZ-B</t>
        </is>
      </c>
      <c r="D854" t="n">
        <v>18</v>
      </c>
      <c r="E854" t="inlineStr">
        <is>
          <t>H0032</t>
        </is>
      </c>
      <c r="F854" t="inlineStr">
        <is>
          <t>桃園市八德區建德路&amp;中正一路交叉街口</t>
        </is>
      </c>
      <c r="G854" t="n">
        <v>24.936083</v>
      </c>
      <c r="H854" t="n">
        <v>121.281056</v>
      </c>
      <c r="I854" t="n">
        <v>16</v>
      </c>
      <c r="J854" t="n">
        <v>3</v>
      </c>
      <c r="K854" t="n">
        <v>310.1</v>
      </c>
      <c r="L854" t="inlineStr">
        <is>
          <t>Primary</t>
        </is>
      </c>
    </row>
    <row r="855">
      <c r="A855" t="n">
        <v>3</v>
      </c>
      <c r="B855" s="26" t="inlineStr">
        <is>
          <t>S06</t>
        </is>
      </c>
      <c r="C855" t="inlineStr">
        <is>
          <t>PZ-B</t>
        </is>
      </c>
      <c r="D855" t="n">
        <v>19</v>
      </c>
      <c r="E855" t="inlineStr">
        <is>
          <t>H0006</t>
        </is>
      </c>
      <c r="F855" t="inlineStr">
        <is>
          <t>桃園市八德區仁德路95巷89弄42號附近-溪濱公園</t>
        </is>
      </c>
      <c r="G855" t="n">
        <v>24.936089</v>
      </c>
      <c r="H855" t="n">
        <v>121.281025</v>
      </c>
      <c r="I855" t="n">
        <v>16</v>
      </c>
      <c r="J855" t="n">
        <v>2</v>
      </c>
      <c r="K855" t="n">
        <v>328.1</v>
      </c>
      <c r="L855" t="inlineStr">
        <is>
          <t>Primary</t>
        </is>
      </c>
    </row>
    <row r="856">
      <c r="A856" t="n">
        <v>3</v>
      </c>
      <c r="B856" s="26" t="inlineStr">
        <is>
          <t>S06</t>
        </is>
      </c>
      <c r="C856" t="inlineStr">
        <is>
          <t>PZ-B</t>
        </is>
      </c>
      <c r="D856" t="n">
        <v>20</v>
      </c>
      <c r="E856" t="inlineStr">
        <is>
          <t>H0006</t>
        </is>
      </c>
      <c r="F856" t="inlineStr">
        <is>
          <t>桃園市八德區仁德路95巷89弄42號附近-溪濱公園</t>
        </is>
      </c>
      <c r="G856" t="n">
        <v>24.9371769</v>
      </c>
      <c r="H856" t="n">
        <v>121.2812623</v>
      </c>
      <c r="I856" t="n">
        <v>16</v>
      </c>
      <c r="J856" t="n">
        <v>3</v>
      </c>
      <c r="K856" t="n">
        <v>347.1</v>
      </c>
      <c r="L856" t="inlineStr">
        <is>
          <t>Primary</t>
        </is>
      </c>
    </row>
    <row r="857">
      <c r="A857" t="n">
        <v>3</v>
      </c>
      <c r="B857" s="26" t="inlineStr">
        <is>
          <t>S06</t>
        </is>
      </c>
      <c r="C857" t="inlineStr">
        <is>
          <t>PZ-B</t>
        </is>
      </c>
      <c r="D857" t="n">
        <v>21</v>
      </c>
      <c r="E857" t="inlineStr">
        <is>
          <t>H0026</t>
        </is>
      </c>
      <c r="F857" t="inlineStr">
        <is>
          <t>桃園市八德區長興路忠孝巷32號</t>
        </is>
      </c>
      <c r="G857" t="n">
        <v>24.934764</v>
      </c>
      <c r="H857" t="n">
        <v>121.275275</v>
      </c>
      <c r="I857" t="n">
        <v>8</v>
      </c>
      <c r="J857" t="n">
        <v>3</v>
      </c>
      <c r="K857" t="n">
        <v>358.1</v>
      </c>
      <c r="L857" t="inlineStr">
        <is>
          <t>Primary</t>
        </is>
      </c>
    </row>
    <row r="858">
      <c r="A858" t="n">
        <v>3</v>
      </c>
      <c r="B858" s="26" t="inlineStr">
        <is>
          <t>S06</t>
        </is>
      </c>
      <c r="C858" t="inlineStr">
        <is>
          <t>PZ-B</t>
        </is>
      </c>
      <c r="D858" t="n">
        <v>22</v>
      </c>
      <c r="E858" t="inlineStr">
        <is>
          <t>H0438</t>
        </is>
      </c>
      <c r="F858" t="inlineStr">
        <is>
          <t>桃園市中壢區華祥三街50巷1弄55號</t>
        </is>
      </c>
      <c r="G858" t="n">
        <v>24.950333</v>
      </c>
      <c r="H858" t="n">
        <v>121.263731</v>
      </c>
      <c r="I858" t="n">
        <v>8</v>
      </c>
      <c r="J858" t="n">
        <v>5</v>
      </c>
      <c r="K858" t="n">
        <v>371.2</v>
      </c>
      <c r="L858" t="inlineStr">
        <is>
          <t>Primary</t>
        </is>
      </c>
    </row>
    <row r="859">
      <c r="A859" t="n">
        <v>3</v>
      </c>
      <c r="B859" s="26" t="inlineStr">
        <is>
          <t>S06</t>
        </is>
      </c>
      <c r="C859" t="inlineStr">
        <is>
          <t>PZ-B</t>
        </is>
      </c>
      <c r="D859" t="n">
        <v>23</v>
      </c>
      <c r="E859" t="inlineStr">
        <is>
          <t>H0454</t>
        </is>
      </c>
      <c r="F859" t="inlineStr">
        <is>
          <t>桃園市中壢區榮民南路70號對面</t>
        </is>
      </c>
      <c r="G859" t="n">
        <v>24.955683</v>
      </c>
      <c r="H859" t="n">
        <v>121.258411</v>
      </c>
      <c r="I859" t="n">
        <v>8</v>
      </c>
      <c r="J859" t="n">
        <v>3</v>
      </c>
      <c r="K859" t="n">
        <v>382.2</v>
      </c>
      <c r="L859" t="inlineStr">
        <is>
          <t>Primary</t>
        </is>
      </c>
    </row>
    <row r="860">
      <c r="A860" t="n">
        <v>3</v>
      </c>
      <c r="B860" s="26" t="inlineStr">
        <is>
          <t>S06</t>
        </is>
      </c>
      <c r="C860" t="inlineStr">
        <is>
          <t>PZ-B</t>
        </is>
      </c>
      <c r="D860" t="n">
        <v>24</v>
      </c>
      <c r="E860" t="inlineStr">
        <is>
          <t>H0475</t>
        </is>
      </c>
      <c r="F860" t="inlineStr">
        <is>
          <t>桃園市中壢區環中東路399巷附近農地</t>
        </is>
      </c>
      <c r="G860" t="n">
        <v>24.959256</v>
      </c>
      <c r="H860" t="n">
        <v>121.254417</v>
      </c>
      <c r="I860" t="n">
        <v>8</v>
      </c>
      <c r="J860" t="n">
        <v>3</v>
      </c>
      <c r="K860" t="n">
        <v>393.2</v>
      </c>
      <c r="L860" t="inlineStr">
        <is>
          <t>Primary</t>
        </is>
      </c>
    </row>
    <row r="861">
      <c r="A861" t="n">
        <v>3</v>
      </c>
      <c r="B861" s="26" t="inlineStr">
        <is>
          <t>S06</t>
        </is>
      </c>
      <c r="C861" t="inlineStr">
        <is>
          <t>PZ-B</t>
        </is>
      </c>
      <c r="D861" t="n">
        <v>25</v>
      </c>
      <c r="E861" t="inlineStr">
        <is>
          <t>H0380</t>
        </is>
      </c>
      <c r="F861" t="inlineStr">
        <is>
          <t>桃園市中壢區永福路1043號隔壁</t>
        </is>
      </c>
      <c r="G861" t="n">
        <v>24.964981</v>
      </c>
      <c r="H861" t="n">
        <v>121.252317</v>
      </c>
      <c r="I861" t="n">
        <v>8</v>
      </c>
      <c r="J861" t="n">
        <v>3</v>
      </c>
      <c r="K861" t="n">
        <v>404.2</v>
      </c>
      <c r="L861" t="inlineStr">
        <is>
          <t>Primary</t>
        </is>
      </c>
    </row>
    <row r="862">
      <c r="A862" t="n">
        <v>3</v>
      </c>
      <c r="B862" s="26" t="inlineStr">
        <is>
          <t>S06</t>
        </is>
      </c>
      <c r="C862" t="inlineStr">
        <is>
          <t>PZ-B</t>
        </is>
      </c>
      <c r="D862" t="n">
        <v>26</v>
      </c>
      <c r="E862" t="inlineStr">
        <is>
          <t>H0381</t>
        </is>
      </c>
      <c r="F862" t="inlineStr">
        <is>
          <t>桃園市中壢區永福路1200號附近工地</t>
        </is>
      </c>
      <c r="G862" t="n">
        <v>24.9681315</v>
      </c>
      <c r="H862" t="n">
        <v>121.252085</v>
      </c>
      <c r="I862" t="n">
        <v>16</v>
      </c>
      <c r="J862" t="n">
        <v>3</v>
      </c>
      <c r="K862" t="n">
        <v>423.2</v>
      </c>
      <c r="L862" t="inlineStr">
        <is>
          <t>Primary</t>
        </is>
      </c>
    </row>
    <row r="863">
      <c r="A863" t="n">
        <v>3</v>
      </c>
      <c r="B863" s="26" t="inlineStr">
        <is>
          <t>S06</t>
        </is>
      </c>
      <c r="C863" t="inlineStr">
        <is>
          <t>PZ-B</t>
        </is>
      </c>
      <c r="D863" t="n">
        <v>27</v>
      </c>
      <c r="E863" t="inlineStr">
        <is>
          <t>H0381</t>
        </is>
      </c>
      <c r="F863" t="inlineStr">
        <is>
          <t>桃園市中壢區永福路1200號附近工地</t>
        </is>
      </c>
      <c r="G863" t="n">
        <v>24.968248</v>
      </c>
      <c r="H863" t="n">
        <v>121.250925</v>
      </c>
      <c r="I863" t="n">
        <v>16</v>
      </c>
      <c r="J863" t="n">
        <v>3</v>
      </c>
      <c r="K863" t="n">
        <v>442.2</v>
      </c>
      <c r="L863" t="inlineStr">
        <is>
          <t>Primary</t>
        </is>
      </c>
    </row>
    <row r="864">
      <c r="A864" t="n">
        <v>3</v>
      </c>
      <c r="B864" s="26" t="inlineStr">
        <is>
          <t>S06</t>
        </is>
      </c>
      <c r="C864" t="inlineStr">
        <is>
          <t>PZ-B</t>
        </is>
      </c>
      <c r="D864" t="n">
        <v>28</v>
      </c>
      <c r="E864" t="inlineStr">
        <is>
          <t>H0347</t>
        </is>
      </c>
      <c r="F864" t="inlineStr">
        <is>
          <t>桃園市中壢區中華路1段743巷40號(靠六和汽車)</t>
        </is>
      </c>
      <c r="G864" t="n">
        <v>24.967203</v>
      </c>
      <c r="H864" t="n">
        <v>121.249411</v>
      </c>
      <c r="I864" t="n">
        <v>16</v>
      </c>
      <c r="J864" t="n">
        <v>3</v>
      </c>
      <c r="K864" t="n">
        <v>461.2</v>
      </c>
      <c r="L864" t="inlineStr">
        <is>
          <t>Primary</t>
        </is>
      </c>
    </row>
    <row r="865">
      <c r="A865" t="n">
        <v>3</v>
      </c>
      <c r="B865" s="26" t="inlineStr">
        <is>
          <t>S06</t>
        </is>
      </c>
      <c r="C865" t="inlineStr">
        <is>
          <t>PZ-B</t>
        </is>
      </c>
      <c r="D865" t="n">
        <v>29</v>
      </c>
      <c r="E865" t="inlineStr">
        <is>
          <t>H0435</t>
        </is>
      </c>
      <c r="F865" t="inlineStr">
        <is>
          <t>桃園市中壢區普忠路230號-原遠東路(內壢火車站附近)守衛室</t>
        </is>
      </c>
      <c r="G865" t="n">
        <v>24.964006</v>
      </c>
      <c r="H865" t="n">
        <v>121.245611</v>
      </c>
      <c r="I865" t="n">
        <v>16</v>
      </c>
      <c r="J865" t="n">
        <v>3</v>
      </c>
      <c r="K865" t="n">
        <v>480.2</v>
      </c>
      <c r="L865" t="inlineStr">
        <is>
          <t>Primary</t>
        </is>
      </c>
    </row>
    <row r="866">
      <c r="A866" t="n">
        <v>3</v>
      </c>
      <c r="B866" s="26" t="inlineStr">
        <is>
          <t>S06</t>
        </is>
      </c>
      <c r="C866" t="inlineStr">
        <is>
          <t>PZ-B</t>
        </is>
      </c>
      <c r="D866" t="n">
        <v>30</v>
      </c>
      <c r="E866" t="inlineStr">
        <is>
          <t>H0434</t>
        </is>
      </c>
      <c r="F866" t="inlineStr">
        <is>
          <t>桃園市中壢區普忠路211巷186-1號附近</t>
        </is>
      </c>
      <c r="G866" t="n">
        <v>24.962908</v>
      </c>
      <c r="H866" t="n">
        <v>121.245883</v>
      </c>
      <c r="I866" t="n">
        <v>8</v>
      </c>
      <c r="J866" t="n">
        <v>3</v>
      </c>
      <c r="K866" t="n">
        <v>491.2</v>
      </c>
      <c r="L866" t="inlineStr">
        <is>
          <t>Primary</t>
        </is>
      </c>
    </row>
    <row r="867">
      <c r="A867" t="n">
        <v>3</v>
      </c>
      <c r="B867" s="26" t="inlineStr">
        <is>
          <t>S06</t>
        </is>
      </c>
      <c r="C867" t="inlineStr">
        <is>
          <t>PZ-B</t>
        </is>
      </c>
      <c r="D867" t="n">
        <v>31</v>
      </c>
      <c r="E867" t="inlineStr">
        <is>
          <t>H0435</t>
        </is>
      </c>
      <c r="F867" t="inlineStr">
        <is>
          <t>桃園市中壢區普忠路230號-原遠東路(內壢火車站附近)守衛室</t>
        </is>
      </c>
      <c r="G867" t="n">
        <v>24.9603064</v>
      </c>
      <c r="H867" t="n">
        <v>121.2461605</v>
      </c>
      <c r="I867" t="n">
        <v>16</v>
      </c>
      <c r="J867" t="n">
        <v>3</v>
      </c>
      <c r="K867" t="n">
        <v>510.2</v>
      </c>
      <c r="L867" t="inlineStr">
        <is>
          <t>Primary</t>
        </is>
      </c>
    </row>
    <row r="868">
      <c r="A868" t="n">
        <v>3</v>
      </c>
      <c r="B868" s="26" t="inlineStr">
        <is>
          <t>S06</t>
        </is>
      </c>
      <c r="C868" t="inlineStr">
        <is>
          <t>PZ-B</t>
        </is>
      </c>
      <c r="D868" t="n">
        <v>32</v>
      </c>
      <c r="E868" t="inlineStr">
        <is>
          <t>H0348</t>
        </is>
      </c>
      <c r="F868" t="inlineStr">
        <is>
          <t>桃園市中壢區中華路二段369-1號</t>
        </is>
      </c>
      <c r="G868" t="n">
        <v>24.961583</v>
      </c>
      <c r="H868" t="n">
        <v>121.235239</v>
      </c>
      <c r="I868" t="n">
        <v>8</v>
      </c>
      <c r="J868" t="n">
        <v>3</v>
      </c>
      <c r="K868" t="n">
        <v>521.2</v>
      </c>
      <c r="L868" t="inlineStr">
        <is>
          <t>Primary</t>
        </is>
      </c>
    </row>
    <row r="869">
      <c r="A869" t="n">
        <v>4</v>
      </c>
      <c r="B869" s="26" t="inlineStr">
        <is>
          <t>S06</t>
        </is>
      </c>
      <c r="C869" t="inlineStr">
        <is>
          <t>PZ-B</t>
        </is>
      </c>
      <c r="D869" t="n">
        <v>1</v>
      </c>
      <c r="E869" t="inlineStr">
        <is>
          <t>H0705</t>
        </is>
      </c>
      <c r="F869" t="inlineStr">
        <is>
          <t>桃園市楊梅區永平路6號</t>
        </is>
      </c>
      <c r="G869" t="n">
        <v>24.922903</v>
      </c>
      <c r="H869" t="n">
        <v>121.185494</v>
      </c>
      <c r="I869" t="n">
        <v>32</v>
      </c>
      <c r="J869" t="n">
        <v>10.9</v>
      </c>
      <c r="K869" t="n">
        <v>42.9</v>
      </c>
      <c r="L869" t="inlineStr">
        <is>
          <t>Primary</t>
        </is>
      </c>
    </row>
    <row r="870">
      <c r="A870" t="n">
        <v>4</v>
      </c>
      <c r="B870" s="26" t="inlineStr">
        <is>
          <t>S06</t>
        </is>
      </c>
      <c r="C870" t="inlineStr">
        <is>
          <t>PZ-B</t>
        </is>
      </c>
      <c r="D870" t="n">
        <v>2</v>
      </c>
      <c r="E870" t="inlineStr">
        <is>
          <t>H0702</t>
        </is>
      </c>
      <c r="F870" t="inlineStr">
        <is>
          <t>桃園市楊梅區永平路235號旁</t>
        </is>
      </c>
      <c r="G870" t="n">
        <v>24.92057</v>
      </c>
      <c r="H870" t="n">
        <v>121.179314</v>
      </c>
      <c r="I870" t="n">
        <v>8</v>
      </c>
      <c r="J870" t="n">
        <v>3</v>
      </c>
      <c r="K870" t="n">
        <v>53.9</v>
      </c>
      <c r="L870" t="inlineStr">
        <is>
          <t>Primary</t>
        </is>
      </c>
    </row>
    <row r="871">
      <c r="A871" t="n">
        <v>4</v>
      </c>
      <c r="B871" s="26" t="inlineStr">
        <is>
          <t>S06</t>
        </is>
      </c>
      <c r="C871" t="inlineStr">
        <is>
          <t>PZ-B</t>
        </is>
      </c>
      <c r="D871" t="n">
        <v>3</v>
      </c>
      <c r="E871" t="inlineStr">
        <is>
          <t>H0720</t>
        </is>
      </c>
      <c r="F871" t="inlineStr">
        <is>
          <t>桃園市楊梅區青年路2號旁工地-附地標(金錩旁)</t>
        </is>
      </c>
      <c r="G871" t="n">
        <v>24.925756</v>
      </c>
      <c r="H871" t="n">
        <v>121.170873</v>
      </c>
      <c r="I871" t="n">
        <v>16</v>
      </c>
      <c r="J871" t="n">
        <v>3</v>
      </c>
      <c r="K871" t="n">
        <v>72.90000000000001</v>
      </c>
      <c r="L871" t="inlineStr">
        <is>
          <t>Primary</t>
        </is>
      </c>
    </row>
    <row r="872">
      <c r="A872" t="n">
        <v>4</v>
      </c>
      <c r="B872" s="26" t="inlineStr">
        <is>
          <t>S06</t>
        </is>
      </c>
      <c r="C872" t="inlineStr">
        <is>
          <t>PZ-B</t>
        </is>
      </c>
      <c r="D872" t="n">
        <v>4</v>
      </c>
      <c r="E872" t="inlineStr">
        <is>
          <t>H0721</t>
        </is>
      </c>
      <c r="F872" t="inlineStr">
        <is>
          <t>桃園市楊梅區青年路9巷3號--郭元益充電站</t>
        </is>
      </c>
      <c r="G872" t="n">
        <v>24.928653</v>
      </c>
      <c r="H872" t="n">
        <v>121.167525</v>
      </c>
      <c r="I872" t="n">
        <v>8</v>
      </c>
      <c r="J872" t="n">
        <v>3</v>
      </c>
      <c r="K872" t="n">
        <v>83.90000000000001</v>
      </c>
      <c r="L872" t="inlineStr">
        <is>
          <t>Primary</t>
        </is>
      </c>
    </row>
    <row r="873">
      <c r="A873" t="n">
        <v>4</v>
      </c>
      <c r="B873" s="26" t="inlineStr">
        <is>
          <t>S06</t>
        </is>
      </c>
      <c r="C873" t="inlineStr">
        <is>
          <t>PZ-B</t>
        </is>
      </c>
      <c r="D873" t="n">
        <v>5</v>
      </c>
      <c r="E873" t="inlineStr">
        <is>
          <t>H0739</t>
        </is>
      </c>
      <c r="F873" t="inlineStr">
        <is>
          <t>桃園市楊梅區高獅路776號對面工地</t>
        </is>
      </c>
      <c r="G873" t="n">
        <v>24.924278</v>
      </c>
      <c r="H873" t="n">
        <v>121.164322</v>
      </c>
      <c r="I873" t="n">
        <v>8</v>
      </c>
      <c r="J873" t="n">
        <v>3</v>
      </c>
      <c r="K873" t="n">
        <v>94.90000000000001</v>
      </c>
      <c r="L873" t="inlineStr">
        <is>
          <t>Primary</t>
        </is>
      </c>
    </row>
    <row r="874">
      <c r="A874" t="n">
        <v>4</v>
      </c>
      <c r="B874" s="26" t="inlineStr">
        <is>
          <t>S06</t>
        </is>
      </c>
      <c r="C874" t="inlineStr">
        <is>
          <t>PZ-B</t>
        </is>
      </c>
      <c r="D874" t="n">
        <v>6</v>
      </c>
      <c r="E874" t="inlineStr">
        <is>
          <t>H0737</t>
        </is>
      </c>
      <c r="F874" t="inlineStr">
        <is>
          <t>桃園市楊梅區高獅路566-1號(華新門口)</t>
        </is>
      </c>
      <c r="G874" t="n">
        <v>24.92592</v>
      </c>
      <c r="H874" t="n">
        <v>121.157858</v>
      </c>
      <c r="I874" t="n">
        <v>8</v>
      </c>
      <c r="J874" t="n">
        <v>3</v>
      </c>
      <c r="K874" t="n">
        <v>105.9</v>
      </c>
      <c r="L874" t="inlineStr">
        <is>
          <t>Primary</t>
        </is>
      </c>
    </row>
    <row r="875">
      <c r="A875" t="n">
        <v>4</v>
      </c>
      <c r="B875" s="26" t="inlineStr">
        <is>
          <t>S06</t>
        </is>
      </c>
      <c r="C875" t="inlineStr">
        <is>
          <t>PZ-B</t>
        </is>
      </c>
      <c r="D875" t="n">
        <v>7</v>
      </c>
      <c r="E875" t="inlineStr">
        <is>
          <t>H0689</t>
        </is>
      </c>
      <c r="F875" t="inlineStr">
        <is>
          <t>桃園市楊梅區幼獅路３段202巷27號-電聯</t>
        </is>
      </c>
      <c r="G875" t="n">
        <v>24.932878</v>
      </c>
      <c r="H875" t="n">
        <v>121.153661</v>
      </c>
      <c r="I875" t="n">
        <v>8</v>
      </c>
      <c r="J875" t="n">
        <v>3</v>
      </c>
      <c r="K875" t="n">
        <v>116.9</v>
      </c>
      <c r="L875" t="inlineStr">
        <is>
          <t>Primary</t>
        </is>
      </c>
    </row>
    <row r="876">
      <c r="A876" t="n">
        <v>4</v>
      </c>
      <c r="B876" s="26" t="inlineStr">
        <is>
          <t>S06</t>
        </is>
      </c>
      <c r="C876" t="inlineStr">
        <is>
          <t>PZ-B</t>
        </is>
      </c>
      <c r="D876" t="n">
        <v>8</v>
      </c>
      <c r="E876" t="inlineStr">
        <is>
          <t>H0690</t>
        </is>
      </c>
      <c r="F876" t="inlineStr">
        <is>
          <t>桃園市楊梅區幼獅路三段370巷5號旁</t>
        </is>
      </c>
      <c r="G876" t="n">
        <v>24.931495</v>
      </c>
      <c r="H876" t="n">
        <v>121.151292</v>
      </c>
      <c r="I876" t="n">
        <v>8</v>
      </c>
      <c r="J876" t="n">
        <v>3</v>
      </c>
      <c r="K876" t="n">
        <v>127.9</v>
      </c>
      <c r="L876" t="inlineStr">
        <is>
          <t>Primary</t>
        </is>
      </c>
    </row>
    <row r="877">
      <c r="A877" t="n">
        <v>4</v>
      </c>
      <c r="B877" s="26" t="inlineStr">
        <is>
          <t>S06</t>
        </is>
      </c>
      <c r="C877" t="inlineStr">
        <is>
          <t>PZ-B</t>
        </is>
      </c>
      <c r="D877" t="n">
        <v>9</v>
      </c>
      <c r="E877" t="inlineStr">
        <is>
          <t>H0732</t>
        </is>
      </c>
      <c r="F877" t="inlineStr">
        <is>
          <t>桃園市楊梅區高上路１段587號對面</t>
        </is>
      </c>
      <c r="G877" t="n">
        <v>24.944347</v>
      </c>
      <c r="H877" t="n">
        <v>121.151469</v>
      </c>
      <c r="I877" t="n">
        <v>16</v>
      </c>
      <c r="J877" t="n">
        <v>3.4</v>
      </c>
      <c r="K877" t="n">
        <v>147.3</v>
      </c>
      <c r="L877" t="inlineStr">
        <is>
          <t>Primary</t>
        </is>
      </c>
    </row>
    <row r="878">
      <c r="A878" t="n">
        <v>4</v>
      </c>
      <c r="B878" s="26" t="inlineStr">
        <is>
          <t>S06</t>
        </is>
      </c>
      <c r="C878" t="inlineStr">
        <is>
          <t>PZ-B</t>
        </is>
      </c>
      <c r="D878" t="n">
        <v>10</v>
      </c>
      <c r="E878" t="inlineStr">
        <is>
          <t>H0733</t>
        </is>
      </c>
      <c r="F878" t="inlineStr">
        <is>
          <t>桃園市楊梅區高平路438巷160號</t>
        </is>
      </c>
      <c r="G878" t="n">
        <v>24.942619</v>
      </c>
      <c r="H878" t="n">
        <v>121.138155</v>
      </c>
      <c r="I878" t="n">
        <v>8</v>
      </c>
      <c r="J878" t="n">
        <v>3.3</v>
      </c>
      <c r="K878" t="n">
        <v>158.6</v>
      </c>
      <c r="L878" t="inlineStr">
        <is>
          <t>Primary</t>
        </is>
      </c>
    </row>
    <row r="879">
      <c r="A879" t="n">
        <v>4</v>
      </c>
      <c r="B879" s="26" t="inlineStr">
        <is>
          <t>S06</t>
        </is>
      </c>
      <c r="C879" t="inlineStr">
        <is>
          <t>PZ-B</t>
        </is>
      </c>
      <c r="D879" t="n">
        <v>11</v>
      </c>
      <c r="E879" t="inlineStr">
        <is>
          <t>H0734</t>
        </is>
      </c>
      <c r="F879" t="inlineStr">
        <is>
          <t>桃園市楊梅區高平路438巷160號-1棟5F</t>
        </is>
      </c>
      <c r="G879" t="n">
        <v>24.942722</v>
      </c>
      <c r="H879" t="n">
        <v>121.137222</v>
      </c>
      <c r="I879" t="n">
        <v>14</v>
      </c>
      <c r="J879" t="n">
        <v>2</v>
      </c>
      <c r="K879" t="n">
        <v>174.6</v>
      </c>
      <c r="L879" t="inlineStr">
        <is>
          <t>Primary</t>
        </is>
      </c>
    </row>
    <row r="880">
      <c r="A880" t="n">
        <v>4</v>
      </c>
      <c r="B880" s="26" t="inlineStr">
        <is>
          <t>S06</t>
        </is>
      </c>
      <c r="C880" t="inlineStr">
        <is>
          <t>PZ-B</t>
        </is>
      </c>
      <c r="D880" t="n">
        <v>12</v>
      </c>
      <c r="E880" t="inlineStr">
        <is>
          <t>H0735</t>
        </is>
      </c>
      <c r="F880" t="inlineStr">
        <is>
          <t>桃園市楊梅區高平路438巷160號-2棟5F</t>
        </is>
      </c>
      <c r="G880" t="n">
        <v>24.942722</v>
      </c>
      <c r="H880" t="n">
        <v>121.137222</v>
      </c>
      <c r="I880" t="n">
        <v>14</v>
      </c>
      <c r="J880" t="n">
        <v>2</v>
      </c>
      <c r="K880" t="n">
        <v>190.6</v>
      </c>
      <c r="L880" t="inlineStr">
        <is>
          <t>Primary</t>
        </is>
      </c>
    </row>
    <row r="881">
      <c r="A881" t="n">
        <v>4</v>
      </c>
      <c r="B881" s="26" t="inlineStr">
        <is>
          <t>S06</t>
        </is>
      </c>
      <c r="C881" t="inlineStr">
        <is>
          <t>PZ-B</t>
        </is>
      </c>
      <c r="D881" t="n">
        <v>13</v>
      </c>
      <c r="E881" t="inlineStr">
        <is>
          <t>H0736</t>
        </is>
      </c>
      <c r="F881" t="inlineStr">
        <is>
          <t>桃園市楊梅區高平路475巷59號</t>
        </is>
      </c>
      <c r="G881" t="n">
        <v>24.939183</v>
      </c>
      <c r="H881" t="n">
        <v>121.13295</v>
      </c>
      <c r="I881" t="n">
        <v>16</v>
      </c>
      <c r="J881" t="n">
        <v>3</v>
      </c>
      <c r="K881" t="n">
        <v>209.6</v>
      </c>
      <c r="L881" t="inlineStr">
        <is>
          <t>Primary</t>
        </is>
      </c>
    </row>
    <row r="882">
      <c r="A882" t="n">
        <v>4</v>
      </c>
      <c r="B882" s="26" t="inlineStr">
        <is>
          <t>S06</t>
        </is>
      </c>
      <c r="C882" t="inlineStr">
        <is>
          <t>PZ-B</t>
        </is>
      </c>
      <c r="D882" t="n">
        <v>14</v>
      </c>
      <c r="E882" t="inlineStr">
        <is>
          <t>H0713</t>
        </is>
      </c>
      <c r="F882" t="inlineStr">
        <is>
          <t>桃園市楊梅區和平路236巷30弄29號</t>
        </is>
      </c>
      <c r="G882" t="n">
        <v>24.942291</v>
      </c>
      <c r="H882" t="n">
        <v>121.128875</v>
      </c>
      <c r="I882" t="n">
        <v>8</v>
      </c>
      <c r="J882" t="n">
        <v>3</v>
      </c>
      <c r="K882" t="n">
        <v>220.6</v>
      </c>
      <c r="L882" t="inlineStr">
        <is>
          <t>Primary</t>
        </is>
      </c>
    </row>
    <row r="883">
      <c r="A883" t="n">
        <v>4</v>
      </c>
      <c r="B883" s="26" t="inlineStr">
        <is>
          <t>S06</t>
        </is>
      </c>
      <c r="C883" t="inlineStr">
        <is>
          <t>PZ-B</t>
        </is>
      </c>
      <c r="D883" t="n">
        <v>15</v>
      </c>
      <c r="E883" t="inlineStr">
        <is>
          <t>H0714</t>
        </is>
      </c>
      <c r="F883" t="inlineStr">
        <is>
          <t>桃園市楊梅區和平路398巷21弄25號</t>
        </is>
      </c>
      <c r="G883" t="n">
        <v>24.944236</v>
      </c>
      <c r="H883" t="n">
        <v>121.12605</v>
      </c>
      <c r="I883" t="n">
        <v>8</v>
      </c>
      <c r="J883" t="n">
        <v>3</v>
      </c>
      <c r="K883" t="n">
        <v>231.6</v>
      </c>
      <c r="L883" t="inlineStr">
        <is>
          <t>Primary</t>
        </is>
      </c>
    </row>
    <row r="884">
      <c r="A884" t="n">
        <v>4</v>
      </c>
      <c r="B884" s="26" t="inlineStr">
        <is>
          <t>S06</t>
        </is>
      </c>
      <c r="C884" t="inlineStr">
        <is>
          <t>PZ-B</t>
        </is>
      </c>
      <c r="D884" t="n">
        <v>16</v>
      </c>
      <c r="E884" t="inlineStr">
        <is>
          <t>H0683</t>
        </is>
      </c>
      <c r="F884" t="inlineStr">
        <is>
          <t>桃園市楊梅區上田里9鄰25之12號</t>
        </is>
      </c>
      <c r="G884" t="n">
        <v>24.935144</v>
      </c>
      <c r="H884" t="n">
        <v>121.125084</v>
      </c>
      <c r="I884" t="n">
        <v>8</v>
      </c>
      <c r="J884" t="n">
        <v>3</v>
      </c>
      <c r="K884" t="n">
        <v>242.6</v>
      </c>
      <c r="L884" t="inlineStr">
        <is>
          <t>Primary</t>
        </is>
      </c>
    </row>
    <row r="885">
      <c r="A885" t="n">
        <v>4</v>
      </c>
      <c r="B885" s="26" t="inlineStr">
        <is>
          <t>S06</t>
        </is>
      </c>
      <c r="C885" t="inlineStr">
        <is>
          <t>PZ-B</t>
        </is>
      </c>
      <c r="D885" t="n">
        <v>17</v>
      </c>
      <c r="E885" t="inlineStr">
        <is>
          <t>H0715</t>
        </is>
      </c>
      <c r="F885" t="inlineStr">
        <is>
          <t>桃園市楊梅區和平路87巷3弄230號</t>
        </is>
      </c>
      <c r="G885" t="n">
        <v>24.933181</v>
      </c>
      <c r="H885" t="n">
        <v>121.128298</v>
      </c>
      <c r="I885" t="n">
        <v>8</v>
      </c>
      <c r="J885" t="n">
        <v>3</v>
      </c>
      <c r="K885" t="n">
        <v>253.6</v>
      </c>
      <c r="L885" t="inlineStr">
        <is>
          <t>Primary</t>
        </is>
      </c>
    </row>
    <row r="886">
      <c r="A886" t="n">
        <v>4</v>
      </c>
      <c r="B886" s="26" t="inlineStr">
        <is>
          <t>S06</t>
        </is>
      </c>
      <c r="C886" t="inlineStr">
        <is>
          <t>PZ-B</t>
        </is>
      </c>
      <c r="D886" t="n">
        <v>18</v>
      </c>
      <c r="E886" t="inlineStr">
        <is>
          <t>H0695</t>
        </is>
      </c>
      <c r="F886" t="inlineStr">
        <is>
          <t>桃園市楊梅區民有路一段87號</t>
        </is>
      </c>
      <c r="G886" t="n">
        <v>24.934558</v>
      </c>
      <c r="H886" t="n">
        <v>121.119659</v>
      </c>
      <c r="I886" t="n">
        <v>8</v>
      </c>
      <c r="J886" t="n">
        <v>3</v>
      </c>
      <c r="K886" t="n">
        <v>264.6</v>
      </c>
      <c r="L886" t="inlineStr">
        <is>
          <t>Primary</t>
        </is>
      </c>
    </row>
    <row r="887">
      <c r="A887" t="n">
        <v>4</v>
      </c>
      <c r="B887" s="26" t="inlineStr">
        <is>
          <t>S06</t>
        </is>
      </c>
      <c r="C887" t="inlineStr">
        <is>
          <t>PZ-B</t>
        </is>
      </c>
      <c r="D887" t="n">
        <v>19</v>
      </c>
      <c r="E887" t="inlineStr">
        <is>
          <t>H0699</t>
        </is>
      </c>
      <c r="F887" t="inlineStr">
        <is>
          <t>桃園市楊梅區民富路一段782號旁(翔聯M棟)</t>
        </is>
      </c>
      <c r="G887" t="n">
        <v>24.922953</v>
      </c>
      <c r="H887" t="n">
        <v>121.119364</v>
      </c>
      <c r="I887" t="n">
        <v>8</v>
      </c>
      <c r="J887" t="n">
        <v>3.1</v>
      </c>
      <c r="K887" t="n">
        <v>275.7</v>
      </c>
      <c r="L887" t="inlineStr">
        <is>
          <t>Primary</t>
        </is>
      </c>
    </row>
    <row r="888">
      <c r="A888" t="n">
        <v>4</v>
      </c>
      <c r="B888" s="26" t="inlineStr">
        <is>
          <t>S06</t>
        </is>
      </c>
      <c r="C888" t="inlineStr">
        <is>
          <t>PZ-B</t>
        </is>
      </c>
      <c r="D888" t="n">
        <v>20</v>
      </c>
      <c r="E888" t="inlineStr">
        <is>
          <t>H0765</t>
        </is>
      </c>
      <c r="F888" t="inlineStr">
        <is>
          <t>桃園市楊梅區楊湖路一段639號工地-電聯定位</t>
        </is>
      </c>
      <c r="G888" t="n">
        <v>24.9130974</v>
      </c>
      <c r="H888" t="n">
        <v>121.1266729</v>
      </c>
      <c r="I888" t="n">
        <v>32</v>
      </c>
      <c r="J888" t="n">
        <v>3.2</v>
      </c>
      <c r="K888" t="n">
        <v>310.8</v>
      </c>
      <c r="L888" t="inlineStr">
        <is>
          <t>Primary</t>
        </is>
      </c>
    </row>
    <row r="889">
      <c r="A889" t="n">
        <v>4</v>
      </c>
      <c r="B889" s="26" t="inlineStr">
        <is>
          <t>S06</t>
        </is>
      </c>
      <c r="C889" t="inlineStr">
        <is>
          <t>PZ-B</t>
        </is>
      </c>
      <c r="D889" t="n">
        <v>21</v>
      </c>
      <c r="E889" t="inlineStr">
        <is>
          <t>H0765</t>
        </is>
      </c>
      <c r="F889" t="inlineStr">
        <is>
          <t>桃園市楊梅區楊湖路一段639號工地-電聯定位</t>
        </is>
      </c>
      <c r="G889" t="n">
        <v>24.912983</v>
      </c>
      <c r="H889" t="n">
        <v>121.126678</v>
      </c>
      <c r="I889" t="n">
        <v>32</v>
      </c>
      <c r="J889" t="n">
        <v>2</v>
      </c>
      <c r="K889" t="n">
        <v>344.8</v>
      </c>
      <c r="L889" t="inlineStr">
        <is>
          <t>Primary</t>
        </is>
      </c>
    </row>
    <row r="890">
      <c r="A890" t="n">
        <v>4</v>
      </c>
      <c r="B890" s="26" t="inlineStr">
        <is>
          <t>S06</t>
        </is>
      </c>
      <c r="C890" t="inlineStr">
        <is>
          <t>PZ-B</t>
        </is>
      </c>
      <c r="D890" t="n">
        <v>22</v>
      </c>
      <c r="E890" t="inlineStr">
        <is>
          <t>H0764</t>
        </is>
      </c>
      <c r="F890" t="inlineStr">
        <is>
          <t>桃園市楊梅區楊湖路一段585巷68號斜對面</t>
        </is>
      </c>
      <c r="G890" t="n">
        <v>24.912267</v>
      </c>
      <c r="H890" t="n">
        <v>121.128095</v>
      </c>
      <c r="I890" t="n">
        <v>8</v>
      </c>
      <c r="J890" t="n">
        <v>3</v>
      </c>
      <c r="K890" t="n">
        <v>355.8</v>
      </c>
      <c r="L890" t="inlineStr">
        <is>
          <t>Primary</t>
        </is>
      </c>
    </row>
    <row r="891">
      <c r="A891" t="n">
        <v>4</v>
      </c>
      <c r="B891" s="26" t="inlineStr">
        <is>
          <t>S06</t>
        </is>
      </c>
      <c r="C891" t="inlineStr">
        <is>
          <t>PZ-B</t>
        </is>
      </c>
      <c r="D891" t="n">
        <v>23</v>
      </c>
      <c r="E891" t="inlineStr">
        <is>
          <t>H0761</t>
        </is>
      </c>
      <c r="F891" t="inlineStr">
        <is>
          <t>桃園市楊梅區楊湖路一段425巷156號-淞譽二廠</t>
        </is>
      </c>
      <c r="G891" t="n">
        <v>24.910664</v>
      </c>
      <c r="H891" t="n">
        <v>121.128575</v>
      </c>
      <c r="I891" t="n">
        <v>8</v>
      </c>
      <c r="J891" t="n">
        <v>3</v>
      </c>
      <c r="K891" t="n">
        <v>366.8</v>
      </c>
      <c r="L891" t="inlineStr">
        <is>
          <t>Primary</t>
        </is>
      </c>
    </row>
    <row r="892">
      <c r="A892" t="n">
        <v>4</v>
      </c>
      <c r="B892" s="26" t="inlineStr">
        <is>
          <t>S06</t>
        </is>
      </c>
      <c r="C892" t="inlineStr">
        <is>
          <t>PZ-B</t>
        </is>
      </c>
      <c r="D892" t="n">
        <v>24</v>
      </c>
      <c r="E892" t="inlineStr">
        <is>
          <t>H0760</t>
        </is>
      </c>
      <c r="F892" t="inlineStr">
        <is>
          <t>桃園市楊梅區楊湖路一段425巷156號旁</t>
        </is>
      </c>
      <c r="G892" t="n">
        <v>24.911536</v>
      </c>
      <c r="H892" t="n">
        <v>121.130006</v>
      </c>
      <c r="I892" t="n">
        <v>8</v>
      </c>
      <c r="J892" t="n">
        <v>3</v>
      </c>
      <c r="K892" t="n">
        <v>377.8</v>
      </c>
      <c r="L892" t="inlineStr">
        <is>
          <t>Primary</t>
        </is>
      </c>
    </row>
    <row r="893">
      <c r="A893" t="n">
        <v>4</v>
      </c>
      <c r="B893" s="26" t="inlineStr">
        <is>
          <t>S06</t>
        </is>
      </c>
      <c r="C893" t="inlineStr">
        <is>
          <t>PZ-B</t>
        </is>
      </c>
      <c r="D893" t="n">
        <v>25</v>
      </c>
      <c r="E893" t="inlineStr">
        <is>
          <t>H0698</t>
        </is>
      </c>
      <c r="F893" t="inlineStr">
        <is>
          <t>桃園市楊梅區民富路一段136巷8號</t>
        </is>
      </c>
      <c r="G893" t="n">
        <v>24.919603</v>
      </c>
      <c r="H893" t="n">
        <v>121.134461</v>
      </c>
      <c r="I893" t="n">
        <v>8</v>
      </c>
      <c r="J893" t="n">
        <v>3</v>
      </c>
      <c r="K893" t="n">
        <v>388.8</v>
      </c>
      <c r="L893" t="inlineStr">
        <is>
          <t>Primary</t>
        </is>
      </c>
    </row>
    <row r="894">
      <c r="A894" t="n">
        <v>4</v>
      </c>
      <c r="B894" s="26" t="inlineStr">
        <is>
          <t>S06</t>
        </is>
      </c>
      <c r="C894" t="inlineStr">
        <is>
          <t>PZ-B</t>
        </is>
      </c>
      <c r="D894" t="n">
        <v>26</v>
      </c>
      <c r="E894" t="inlineStr">
        <is>
          <t>H0700</t>
        </is>
      </c>
      <c r="F894" t="inlineStr">
        <is>
          <t>桃園市楊梅區民富路三段268號旁</t>
        </is>
      </c>
      <c r="G894" t="n">
        <v>24.931539</v>
      </c>
      <c r="H894" t="n">
        <v>121.098936</v>
      </c>
      <c r="I894" t="n">
        <v>8</v>
      </c>
      <c r="J894" t="n">
        <v>9.199999999999999</v>
      </c>
      <c r="K894" t="n">
        <v>406</v>
      </c>
      <c r="L894" t="inlineStr">
        <is>
          <t>Primary</t>
        </is>
      </c>
    </row>
    <row r="895">
      <c r="A895" t="n">
        <v>4</v>
      </c>
      <c r="B895" s="26" t="inlineStr">
        <is>
          <t>S06</t>
        </is>
      </c>
      <c r="C895" t="inlineStr">
        <is>
          <t>PZ-B</t>
        </is>
      </c>
      <c r="D895" t="n">
        <v>27</v>
      </c>
      <c r="E895" t="inlineStr">
        <is>
          <t>H0694</t>
        </is>
      </c>
      <c r="F895" t="inlineStr">
        <is>
          <t>桃園市楊梅區民有路一段683巷(清潔隊對面)</t>
        </is>
      </c>
      <c r="G895" t="n">
        <v>24.944726</v>
      </c>
      <c r="H895" t="n">
        <v>121.1078305</v>
      </c>
      <c r="I895" t="n">
        <v>16</v>
      </c>
      <c r="J895" t="n">
        <v>4.1</v>
      </c>
      <c r="K895" t="n">
        <v>426.1</v>
      </c>
      <c r="L895" t="inlineStr">
        <is>
          <t>Primary</t>
        </is>
      </c>
    </row>
    <row r="896">
      <c r="A896" t="n">
        <v>4</v>
      </c>
      <c r="B896" s="26" t="inlineStr">
        <is>
          <t>S06</t>
        </is>
      </c>
      <c r="C896" t="inlineStr">
        <is>
          <t>PZ-B</t>
        </is>
      </c>
      <c r="D896" t="n">
        <v>28</v>
      </c>
      <c r="E896" t="inlineStr">
        <is>
          <t>H0643</t>
        </is>
      </c>
      <c r="F896" t="inlineStr">
        <is>
          <t>桃園市新屋區社子路136號對面</t>
        </is>
      </c>
      <c r="G896" t="n">
        <v>24.960646</v>
      </c>
      <c r="H896" t="n">
        <v>121.0878815</v>
      </c>
      <c r="I896" t="n">
        <v>32</v>
      </c>
      <c r="J896" t="n">
        <v>6.4</v>
      </c>
      <c r="K896" t="n">
        <v>464.6</v>
      </c>
      <c r="L896" t="inlineStr">
        <is>
          <t>Primary</t>
        </is>
      </c>
    </row>
    <row r="897">
      <c r="A897" t="n">
        <v>4</v>
      </c>
      <c r="B897" s="26" t="inlineStr">
        <is>
          <t>S06</t>
        </is>
      </c>
      <c r="C897" t="inlineStr">
        <is>
          <t>PZ-B</t>
        </is>
      </c>
      <c r="D897" t="n">
        <v>29</v>
      </c>
      <c r="E897" t="inlineStr">
        <is>
          <t>H0642</t>
        </is>
      </c>
      <c r="F897" t="inlineStr">
        <is>
          <t>桃園市新屋區社子路&amp;社子路252巷交叉口</t>
        </is>
      </c>
      <c r="G897" t="n">
        <v>24.961219</v>
      </c>
      <c r="H897" t="n">
        <v>121.086841</v>
      </c>
      <c r="I897" t="n">
        <v>8</v>
      </c>
      <c r="J897" t="n">
        <v>3</v>
      </c>
      <c r="K897" t="n">
        <v>475.6</v>
      </c>
      <c r="L897" t="inlineStr">
        <is>
          <t>Primary</t>
        </is>
      </c>
    </row>
    <row r="898">
      <c r="A898" t="n">
        <v>4</v>
      </c>
      <c r="B898" s="26" t="inlineStr">
        <is>
          <t>S06</t>
        </is>
      </c>
      <c r="C898" t="inlineStr">
        <is>
          <t>PZ-B</t>
        </is>
      </c>
      <c r="D898" t="n">
        <v>30</v>
      </c>
      <c r="E898" t="inlineStr">
        <is>
          <t>H0645</t>
        </is>
      </c>
      <c r="F898" t="inlineStr">
        <is>
          <t>桃園市新屋區社福路501巷24°57'32.1"N 121°04'27.7"E</t>
        </is>
      </c>
      <c r="G898" t="n">
        <v>24.958975</v>
      </c>
      <c r="H898" t="n">
        <v>121.0744</v>
      </c>
      <c r="I898" t="n">
        <v>16</v>
      </c>
      <c r="J898" t="n">
        <v>3.1</v>
      </c>
      <c r="K898" t="n">
        <v>494.6</v>
      </c>
      <c r="L898" t="inlineStr">
        <is>
          <t>Primary</t>
        </is>
      </c>
    </row>
    <row r="899">
      <c r="A899" t="n">
        <v>4</v>
      </c>
      <c r="B899" s="26" t="inlineStr">
        <is>
          <t>S06</t>
        </is>
      </c>
      <c r="C899" t="inlineStr">
        <is>
          <t>PZ-B</t>
        </is>
      </c>
      <c r="D899" t="n">
        <v>31</v>
      </c>
      <c r="E899" t="inlineStr">
        <is>
          <t>H0646</t>
        </is>
      </c>
      <c r="F899" t="inlineStr">
        <is>
          <t>桃園市新屋區社福路713巷-電聯定位</t>
        </is>
      </c>
      <c r="G899" t="n">
        <v>24.962064</v>
      </c>
      <c r="H899" t="n">
        <v>121.067742</v>
      </c>
      <c r="I899" t="n">
        <v>8</v>
      </c>
      <c r="J899" t="n">
        <v>3</v>
      </c>
      <c r="K899" t="n">
        <v>505.6</v>
      </c>
      <c r="L899" t="inlineStr">
        <is>
          <t>Primary</t>
        </is>
      </c>
    </row>
    <row r="900">
      <c r="A900" t="n">
        <v>4</v>
      </c>
      <c r="B900" s="26" t="inlineStr">
        <is>
          <t>S06</t>
        </is>
      </c>
      <c r="C900" t="inlineStr">
        <is>
          <t>PZ-B</t>
        </is>
      </c>
      <c r="D900" t="n">
        <v>32</v>
      </c>
      <c r="E900" t="inlineStr">
        <is>
          <t>H0674</t>
        </is>
      </c>
      <c r="F900" t="inlineStr">
        <is>
          <t>桃園市新屋區新湖路485巷16弄208號旁(河川、池塘)</t>
        </is>
      </c>
      <c r="G900" t="n">
        <v>24.956311</v>
      </c>
      <c r="H900" t="n">
        <v>121.046841</v>
      </c>
      <c r="I900" t="n">
        <v>8</v>
      </c>
      <c r="J900" t="n">
        <v>5.3</v>
      </c>
      <c r="K900" t="n">
        <v>518.9</v>
      </c>
      <c r="L900" t="inlineStr">
        <is>
          <t>Primary</t>
        </is>
      </c>
    </row>
    <row r="901">
      <c r="A901" t="n">
        <v>5</v>
      </c>
      <c r="B901" s="26" t="inlineStr">
        <is>
          <t>S06</t>
        </is>
      </c>
      <c r="C901" t="inlineStr">
        <is>
          <t>PZ-B</t>
        </is>
      </c>
      <c r="D901" t="n">
        <v>1</v>
      </c>
      <c r="E901" t="inlineStr">
        <is>
          <t>H0416</t>
        </is>
      </c>
      <c r="F901" t="inlineStr">
        <is>
          <t>桃園市中壢區建國路36號(中壢郵局)-4F-電聯定位</t>
        </is>
      </c>
      <c r="G901" t="n">
        <v>24.955194</v>
      </c>
      <c r="H901" t="n">
        <v>121.225164</v>
      </c>
      <c r="I901" t="n">
        <v>17</v>
      </c>
      <c r="J901" t="n">
        <v>12.9</v>
      </c>
      <c r="K901" t="n">
        <v>29.9</v>
      </c>
      <c r="L901" t="inlineStr">
        <is>
          <t>Primary</t>
        </is>
      </c>
    </row>
    <row r="902">
      <c r="A902" t="n">
        <v>5</v>
      </c>
      <c r="B902" s="26" t="inlineStr">
        <is>
          <t>S06</t>
        </is>
      </c>
      <c r="C902" t="inlineStr">
        <is>
          <t>PZ-B</t>
        </is>
      </c>
      <c r="D902" t="n">
        <v>2</v>
      </c>
      <c r="E902" t="inlineStr">
        <is>
          <t>H0441</t>
        </is>
      </c>
      <c r="F902" t="inlineStr">
        <is>
          <t>桃園市中壢區新生路53號</t>
        </is>
      </c>
      <c r="G902" t="n">
        <v>24.958739</v>
      </c>
      <c r="H902" t="n">
        <v>121.221986</v>
      </c>
      <c r="I902" t="n">
        <v>8</v>
      </c>
      <c r="J902" t="n">
        <v>3</v>
      </c>
      <c r="K902" t="n">
        <v>40.9</v>
      </c>
      <c r="L902" t="inlineStr">
        <is>
          <t>Primary</t>
        </is>
      </c>
    </row>
    <row r="903">
      <c r="A903" t="n">
        <v>5</v>
      </c>
      <c r="B903" s="26" t="inlineStr">
        <is>
          <t>S06</t>
        </is>
      </c>
      <c r="C903" t="inlineStr">
        <is>
          <t>PZ-B</t>
        </is>
      </c>
      <c r="D903" t="n">
        <v>3</v>
      </c>
      <c r="E903" t="inlineStr">
        <is>
          <t>H0356</t>
        </is>
      </c>
      <c r="F903" t="inlineStr">
        <is>
          <t>桃園市中壢區中豐路160號對面工地</t>
        </is>
      </c>
      <c r="G903" t="n">
        <v>24.961883</v>
      </c>
      <c r="H903" t="n">
        <v>121.219886</v>
      </c>
      <c r="I903" t="n">
        <v>8</v>
      </c>
      <c r="J903" t="n">
        <v>3</v>
      </c>
      <c r="K903" t="n">
        <v>51.9</v>
      </c>
      <c r="L903" t="inlineStr">
        <is>
          <t>Primary</t>
        </is>
      </c>
    </row>
    <row r="904">
      <c r="A904" t="n">
        <v>5</v>
      </c>
      <c r="B904" s="26" t="inlineStr">
        <is>
          <t>S06</t>
        </is>
      </c>
      <c r="C904" t="inlineStr">
        <is>
          <t>PZ-B</t>
        </is>
      </c>
      <c r="D904" t="n">
        <v>4</v>
      </c>
      <c r="E904" t="inlineStr">
        <is>
          <t>H0373</t>
        </is>
      </c>
      <c r="F904" t="inlineStr">
        <is>
          <t>桃園市中壢區民權路２段125號</t>
        </is>
      </c>
      <c r="G904" t="n">
        <v>24.967848</v>
      </c>
      <c r="H904" t="n">
        <v>121.215311</v>
      </c>
      <c r="I904" t="n">
        <v>16</v>
      </c>
      <c r="J904" t="n">
        <v>3</v>
      </c>
      <c r="K904" t="n">
        <v>70.90000000000001</v>
      </c>
      <c r="L904" t="inlineStr">
        <is>
          <t>Primary</t>
        </is>
      </c>
    </row>
    <row r="905">
      <c r="A905" t="n">
        <v>5</v>
      </c>
      <c r="B905" s="26" t="inlineStr">
        <is>
          <t>S06</t>
        </is>
      </c>
      <c r="C905" t="inlineStr">
        <is>
          <t>PZ-B</t>
        </is>
      </c>
      <c r="D905" t="n">
        <v>5</v>
      </c>
      <c r="E905" t="inlineStr">
        <is>
          <t>H0429</t>
        </is>
      </c>
      <c r="F905" t="inlineStr">
        <is>
          <t>桃園市中壢區培英路102、104號</t>
        </is>
      </c>
      <c r="G905" t="n">
        <v>24.973406</v>
      </c>
      <c r="H905" t="n">
        <v>121.224728</v>
      </c>
      <c r="I905" t="n">
        <v>8</v>
      </c>
      <c r="J905" t="n">
        <v>3</v>
      </c>
      <c r="K905" t="n">
        <v>81.90000000000001</v>
      </c>
      <c r="L905" t="inlineStr">
        <is>
          <t>Primary</t>
        </is>
      </c>
    </row>
    <row r="906">
      <c r="A906" t="n">
        <v>5</v>
      </c>
      <c r="B906" s="26" t="inlineStr">
        <is>
          <t>S06</t>
        </is>
      </c>
      <c r="C906" t="inlineStr">
        <is>
          <t>PZ-B</t>
        </is>
      </c>
      <c r="D906" t="n">
        <v>6</v>
      </c>
      <c r="E906" t="inlineStr">
        <is>
          <t>H0376</t>
        </is>
      </c>
      <c r="F906" t="inlineStr">
        <is>
          <t>桃園市中壢區永清街  靠近新生路二段48號7-11後面那條路</t>
        </is>
      </c>
      <c r="G906" t="n">
        <v>24.97767</v>
      </c>
      <c r="H906" t="n">
        <v>121.223928</v>
      </c>
      <c r="I906" t="n">
        <v>8</v>
      </c>
      <c r="J906" t="n">
        <v>3</v>
      </c>
      <c r="K906" t="n">
        <v>92.90000000000001</v>
      </c>
      <c r="L906" t="inlineStr">
        <is>
          <t>Primary</t>
        </is>
      </c>
    </row>
    <row r="907">
      <c r="A907" t="n">
        <v>5</v>
      </c>
      <c r="B907" s="26" t="inlineStr">
        <is>
          <t>S06</t>
        </is>
      </c>
      <c r="C907" t="inlineStr">
        <is>
          <t>PZ-B</t>
        </is>
      </c>
      <c r="D907" t="n">
        <v>7</v>
      </c>
      <c r="E907" t="inlineStr">
        <is>
          <t>H0446</t>
        </is>
      </c>
      <c r="F907" t="inlineStr">
        <is>
          <t>桃園市中壢區新生路二段233巷26-1號</t>
        </is>
      </c>
      <c r="G907" t="n">
        <v>24.9792</v>
      </c>
      <c r="H907" t="n">
        <v>121.220398</v>
      </c>
      <c r="I907" t="n">
        <v>8</v>
      </c>
      <c r="J907" t="n">
        <v>3</v>
      </c>
      <c r="K907" t="n">
        <v>103.9</v>
      </c>
      <c r="L907" t="inlineStr">
        <is>
          <t>Primary</t>
        </is>
      </c>
    </row>
    <row r="908">
      <c r="A908" t="n">
        <v>5</v>
      </c>
      <c r="B908" s="26" t="inlineStr">
        <is>
          <t>S06</t>
        </is>
      </c>
      <c r="C908" t="inlineStr">
        <is>
          <t>PZ-B</t>
        </is>
      </c>
      <c r="D908" t="n">
        <v>8</v>
      </c>
      <c r="E908" t="inlineStr">
        <is>
          <t>H0445</t>
        </is>
      </c>
      <c r="F908" t="inlineStr">
        <is>
          <t>桃園市中壢區新生路二段233巷24號</t>
        </is>
      </c>
      <c r="G908" t="n">
        <v>24.980203</v>
      </c>
      <c r="H908" t="n">
        <v>121.220686</v>
      </c>
      <c r="I908" t="n">
        <v>8</v>
      </c>
      <c r="J908" t="n">
        <v>3</v>
      </c>
      <c r="K908" t="n">
        <v>114.9</v>
      </c>
      <c r="L908" t="inlineStr">
        <is>
          <t>Primary</t>
        </is>
      </c>
    </row>
    <row r="909">
      <c r="A909" t="n">
        <v>5</v>
      </c>
      <c r="B909" s="26" t="inlineStr">
        <is>
          <t>S06</t>
        </is>
      </c>
      <c r="C909" t="inlineStr">
        <is>
          <t>PZ-B</t>
        </is>
      </c>
      <c r="D909" t="n">
        <v>9</v>
      </c>
      <c r="E909" t="inlineStr">
        <is>
          <t>H0465</t>
        </is>
      </c>
      <c r="F909" t="inlineStr">
        <is>
          <t>桃園市中壢區興北一路106號旁空地</t>
        </is>
      </c>
      <c r="G909" t="n">
        <v>24.981214</v>
      </c>
      <c r="H909" t="n">
        <v>121.221236</v>
      </c>
      <c r="I909" t="n">
        <v>8</v>
      </c>
      <c r="J909" t="n">
        <v>3</v>
      </c>
      <c r="K909" t="n">
        <v>125.9</v>
      </c>
      <c r="L909" t="inlineStr">
        <is>
          <t>Primary</t>
        </is>
      </c>
    </row>
    <row r="910">
      <c r="A910" t="n">
        <v>5</v>
      </c>
      <c r="B910" s="26" t="inlineStr">
        <is>
          <t>S06</t>
        </is>
      </c>
      <c r="C910" t="inlineStr">
        <is>
          <t>PZ-B</t>
        </is>
      </c>
      <c r="D910" t="n">
        <v>10</v>
      </c>
      <c r="E910" t="inlineStr">
        <is>
          <t>H0450</t>
        </is>
      </c>
      <c r="F910" t="inlineStr">
        <is>
          <t>桃園市中壢區新生路轉興北二路約500公尺</t>
        </is>
      </c>
      <c r="G910" t="n">
        <v>24.98309666666666</v>
      </c>
      <c r="H910" t="n">
        <v>121.2203133333333</v>
      </c>
      <c r="I910" t="n">
        <v>24</v>
      </c>
      <c r="J910" t="n">
        <v>3</v>
      </c>
      <c r="K910" t="n">
        <v>152.9</v>
      </c>
      <c r="L910" t="inlineStr">
        <is>
          <t>Primary</t>
        </is>
      </c>
    </row>
    <row r="911">
      <c r="A911" t="n">
        <v>5</v>
      </c>
      <c r="B911" s="26" t="inlineStr">
        <is>
          <t>S06</t>
        </is>
      </c>
      <c r="C911" t="inlineStr">
        <is>
          <t>PZ-B</t>
        </is>
      </c>
      <c r="D911" t="n">
        <v>11</v>
      </c>
      <c r="E911" t="inlineStr">
        <is>
          <t>H0468</t>
        </is>
      </c>
      <c r="F911" t="inlineStr">
        <is>
          <t>桃園市中壢區興東路跟新生路二段373巷交叉路口</t>
        </is>
      </c>
      <c r="G911" t="n">
        <v>24.983808</v>
      </c>
      <c r="H911" t="n">
        <v>121.219028</v>
      </c>
      <c r="I911" t="n">
        <v>16</v>
      </c>
      <c r="J911" t="n">
        <v>3</v>
      </c>
      <c r="K911" t="n">
        <v>171.9</v>
      </c>
      <c r="L911" t="inlineStr">
        <is>
          <t>Primary</t>
        </is>
      </c>
    </row>
    <row r="912">
      <c r="A912" t="n">
        <v>5</v>
      </c>
      <c r="B912" s="26" t="inlineStr">
        <is>
          <t>S06</t>
        </is>
      </c>
      <c r="C912" t="inlineStr">
        <is>
          <t>PZ-B</t>
        </is>
      </c>
      <c r="D912" t="n">
        <v>12</v>
      </c>
      <c r="E912" t="inlineStr">
        <is>
          <t>H0357</t>
        </is>
      </c>
      <c r="F912" t="inlineStr">
        <is>
          <t>桃園市中壢區中豐路與興北三路交叉口</t>
        </is>
      </c>
      <c r="G912" t="n">
        <v>24.982806</v>
      </c>
      <c r="H912" t="n">
        <v>121.215678</v>
      </c>
      <c r="I912" t="n">
        <v>8</v>
      </c>
      <c r="J912" t="n">
        <v>3</v>
      </c>
      <c r="K912" t="n">
        <v>182.9</v>
      </c>
      <c r="L912" t="inlineStr">
        <is>
          <t>Primary</t>
        </is>
      </c>
    </row>
    <row r="913">
      <c r="A913" t="n">
        <v>5</v>
      </c>
      <c r="B913" s="26" t="inlineStr">
        <is>
          <t>S06</t>
        </is>
      </c>
      <c r="C913" t="inlineStr">
        <is>
          <t>PZ-B</t>
        </is>
      </c>
      <c r="D913" t="n">
        <v>13</v>
      </c>
      <c r="E913" t="inlineStr">
        <is>
          <t>H0353</t>
        </is>
      </c>
      <c r="F913" t="inlineStr">
        <is>
          <t>桃園市中壢區中豐北路一段600號</t>
        </is>
      </c>
      <c r="G913" t="n">
        <v>24.978567</v>
      </c>
      <c r="H913" t="n">
        <v>121.218825</v>
      </c>
      <c r="I913" t="n">
        <v>8</v>
      </c>
      <c r="J913" t="n">
        <v>3</v>
      </c>
      <c r="K913" t="n">
        <v>193.9</v>
      </c>
      <c r="L913" t="inlineStr">
        <is>
          <t>Primary</t>
        </is>
      </c>
    </row>
    <row r="914">
      <c r="A914" t="n">
        <v>5</v>
      </c>
      <c r="B914" s="26" t="inlineStr">
        <is>
          <t>S06</t>
        </is>
      </c>
      <c r="C914" t="inlineStr">
        <is>
          <t>PZ-B</t>
        </is>
      </c>
      <c r="D914" t="n">
        <v>14</v>
      </c>
      <c r="E914" t="inlineStr">
        <is>
          <t>H0426</t>
        </is>
      </c>
      <c r="F914" t="inlineStr">
        <is>
          <t>桃園市中壢區啟文路2段250巷</t>
        </is>
      </c>
      <c r="G914" t="n">
        <v>24.9823</v>
      </c>
      <c r="H914" t="n">
        <v>121.198977</v>
      </c>
      <c r="I914" t="n">
        <v>8</v>
      </c>
      <c r="J914" t="n">
        <v>4.9</v>
      </c>
      <c r="K914" t="n">
        <v>206.8</v>
      </c>
      <c r="L914" t="inlineStr">
        <is>
          <t>Primary</t>
        </is>
      </c>
    </row>
    <row r="915">
      <c r="A915" t="n">
        <v>5</v>
      </c>
      <c r="B915" s="26" t="inlineStr">
        <is>
          <t>S06</t>
        </is>
      </c>
      <c r="C915" t="inlineStr">
        <is>
          <t>PZ-B</t>
        </is>
      </c>
      <c r="D915" t="n">
        <v>15</v>
      </c>
      <c r="E915" t="inlineStr">
        <is>
          <t>H0345</t>
        </is>
      </c>
      <c r="F915" t="inlineStr">
        <is>
          <t>桃園市中壢區中正路二段424號-追加</t>
        </is>
      </c>
      <c r="G915" t="n">
        <v>24.980528</v>
      </c>
      <c r="H915" t="n">
        <v>121.192472</v>
      </c>
      <c r="I915" t="n">
        <v>8</v>
      </c>
      <c r="J915" t="n">
        <v>3</v>
      </c>
      <c r="K915" t="n">
        <v>217.8</v>
      </c>
      <c r="L915" t="inlineStr">
        <is>
          <t>Primary</t>
        </is>
      </c>
    </row>
    <row r="916">
      <c r="A916" t="n">
        <v>5</v>
      </c>
      <c r="B916" s="26" t="inlineStr">
        <is>
          <t>S06</t>
        </is>
      </c>
      <c r="C916" t="inlineStr">
        <is>
          <t>PZ-B</t>
        </is>
      </c>
      <c r="D916" t="n">
        <v>16</v>
      </c>
      <c r="E916" t="inlineStr">
        <is>
          <t>H0344</t>
        </is>
      </c>
      <c r="F916" t="inlineStr">
        <is>
          <t>桃園市中壢區中正路二段424號</t>
        </is>
      </c>
      <c r="G916" t="n">
        <v>24.980524</v>
      </c>
      <c r="H916" t="n">
        <v>121.192065</v>
      </c>
      <c r="I916" t="n">
        <v>16</v>
      </c>
      <c r="J916" t="n">
        <v>2</v>
      </c>
      <c r="K916" t="n">
        <v>235.8</v>
      </c>
      <c r="L916" t="inlineStr">
        <is>
          <t>Primary</t>
        </is>
      </c>
    </row>
    <row r="917">
      <c r="A917" t="n">
        <v>5</v>
      </c>
      <c r="B917" s="26" t="inlineStr">
        <is>
          <t>S06</t>
        </is>
      </c>
      <c r="C917" t="inlineStr">
        <is>
          <t>PZ-B</t>
        </is>
      </c>
      <c r="D917" t="n">
        <v>17</v>
      </c>
      <c r="E917" t="inlineStr">
        <is>
          <t>H0358</t>
        </is>
      </c>
      <c r="F917" t="inlineStr">
        <is>
          <t>桃園市中壢區五聖路26巷36號</t>
        </is>
      </c>
      <c r="G917" t="n">
        <v>24.989394</v>
      </c>
      <c r="H917" t="n">
        <v>121.19968</v>
      </c>
      <c r="I917" t="n">
        <v>16</v>
      </c>
      <c r="J917" t="n">
        <v>3</v>
      </c>
      <c r="K917" t="n">
        <v>254.8</v>
      </c>
      <c r="L917" t="inlineStr">
        <is>
          <t>Primary</t>
        </is>
      </c>
    </row>
    <row r="918">
      <c r="A918" t="n">
        <v>5</v>
      </c>
      <c r="B918" s="26" t="inlineStr">
        <is>
          <t>S06</t>
        </is>
      </c>
      <c r="C918" t="inlineStr">
        <is>
          <t>PZ-B</t>
        </is>
      </c>
      <c r="D918" t="n">
        <v>18</v>
      </c>
      <c r="E918" t="inlineStr">
        <is>
          <t>H0431</t>
        </is>
      </c>
      <c r="F918" t="inlineStr">
        <is>
          <t>桃園市中壢區崇德二路43號旁</t>
        </is>
      </c>
      <c r="G918" t="n">
        <v>24.995916</v>
      </c>
      <c r="H918" t="n">
        <v>121.19405</v>
      </c>
      <c r="I918" t="n">
        <v>8</v>
      </c>
      <c r="J918" t="n">
        <v>3</v>
      </c>
      <c r="K918" t="n">
        <v>265.8</v>
      </c>
      <c r="L918" t="inlineStr">
        <is>
          <t>Primary</t>
        </is>
      </c>
    </row>
    <row r="919">
      <c r="A919" t="n">
        <v>5</v>
      </c>
      <c r="B919" s="26" t="inlineStr">
        <is>
          <t>S06</t>
        </is>
      </c>
      <c r="C919" t="inlineStr">
        <is>
          <t>PZ-B</t>
        </is>
      </c>
      <c r="D919" t="n">
        <v>19</v>
      </c>
      <c r="E919" t="inlineStr">
        <is>
          <t>H0432</t>
        </is>
      </c>
      <c r="F919" t="inlineStr">
        <is>
          <t>桃園市中壢區崇德二路43號旁-追加</t>
        </is>
      </c>
      <c r="G919" t="n">
        <v>24.996494</v>
      </c>
      <c r="H919" t="n">
        <v>121.193391</v>
      </c>
      <c r="I919" t="n">
        <v>8</v>
      </c>
      <c r="J919" t="n">
        <v>2</v>
      </c>
      <c r="K919" t="n">
        <v>275.8</v>
      </c>
      <c r="L919" t="inlineStr">
        <is>
          <t>Primary</t>
        </is>
      </c>
    </row>
    <row r="920">
      <c r="A920" t="n">
        <v>5</v>
      </c>
      <c r="B920" s="26" t="inlineStr">
        <is>
          <t>S06</t>
        </is>
      </c>
      <c r="C920" t="inlineStr">
        <is>
          <t>PZ-B</t>
        </is>
      </c>
      <c r="D920" t="n">
        <v>20</v>
      </c>
      <c r="E920" t="inlineStr">
        <is>
          <t>H0439</t>
        </is>
      </c>
      <c r="F920" t="inlineStr">
        <is>
          <t>桃園市中壢區圓光路一段582巷38號-龍天宮</t>
        </is>
      </c>
      <c r="G920" t="n">
        <v>25.001778</v>
      </c>
      <c r="H920" t="n">
        <v>121.182914</v>
      </c>
      <c r="I920" t="n">
        <v>8</v>
      </c>
      <c r="J920" t="n">
        <v>3</v>
      </c>
      <c r="K920" t="n">
        <v>286.8</v>
      </c>
      <c r="L920" t="inlineStr">
        <is>
          <t>Primary</t>
        </is>
      </c>
    </row>
    <row r="921">
      <c r="A921" t="n">
        <v>5</v>
      </c>
      <c r="B921" s="26" t="inlineStr">
        <is>
          <t>S06</t>
        </is>
      </c>
      <c r="C921" t="inlineStr">
        <is>
          <t>PZ-B</t>
        </is>
      </c>
      <c r="D921" t="n">
        <v>21</v>
      </c>
      <c r="E921" t="inlineStr">
        <is>
          <t>H0367</t>
        </is>
      </c>
      <c r="F921" t="inlineStr">
        <is>
          <t>桃園市中壢區月眉路二段318巷</t>
        </is>
      </c>
      <c r="G921" t="n">
        <v>25.008</v>
      </c>
      <c r="H921" t="n">
        <v>121.185861</v>
      </c>
      <c r="I921" t="n">
        <v>8</v>
      </c>
      <c r="J921" t="n">
        <v>3</v>
      </c>
      <c r="K921" t="n">
        <v>297.8</v>
      </c>
      <c r="L921" t="inlineStr">
        <is>
          <t>Primary</t>
        </is>
      </c>
    </row>
    <row r="922">
      <c r="A922" t="n">
        <v>5</v>
      </c>
      <c r="B922" s="26" t="inlineStr">
        <is>
          <t>S06</t>
        </is>
      </c>
      <c r="C922" t="inlineStr">
        <is>
          <t>PZ-B</t>
        </is>
      </c>
      <c r="D922" t="n">
        <v>22</v>
      </c>
      <c r="E922" t="inlineStr">
        <is>
          <t>H0368</t>
        </is>
      </c>
      <c r="F922" t="inlineStr">
        <is>
          <t>桃園市中壢區月眉路三段101號旁</t>
        </is>
      </c>
      <c r="G922" t="n">
        <v>25.012692</v>
      </c>
      <c r="H922" t="n">
        <v>121.184052</v>
      </c>
      <c r="I922" t="n">
        <v>8</v>
      </c>
      <c r="J922" t="n">
        <v>3</v>
      </c>
      <c r="K922" t="n">
        <v>308.8</v>
      </c>
      <c r="L922" t="inlineStr">
        <is>
          <t>Primary</t>
        </is>
      </c>
    </row>
    <row r="923">
      <c r="A923" t="n">
        <v>5</v>
      </c>
      <c r="B923" s="26" t="inlineStr">
        <is>
          <t>S06</t>
        </is>
      </c>
      <c r="C923" t="inlineStr">
        <is>
          <t>PZ-B</t>
        </is>
      </c>
      <c r="D923" t="n">
        <v>23</v>
      </c>
      <c r="E923" t="inlineStr">
        <is>
          <t>H0366</t>
        </is>
      </c>
      <c r="F923" t="inlineStr">
        <is>
          <t>桃園市中壢區月山路240號旁</t>
        </is>
      </c>
      <c r="G923" t="n">
        <v>25.008294</v>
      </c>
      <c r="H923" t="n">
        <v>121.179925</v>
      </c>
      <c r="I923" t="n">
        <v>32</v>
      </c>
      <c r="J923" t="n">
        <v>3</v>
      </c>
      <c r="K923" t="n">
        <v>343.8</v>
      </c>
      <c r="L923" t="inlineStr">
        <is>
          <t>Primary</t>
        </is>
      </c>
    </row>
    <row r="924">
      <c r="A924" t="n">
        <v>5</v>
      </c>
      <c r="B924" s="26" t="inlineStr">
        <is>
          <t>S06</t>
        </is>
      </c>
      <c r="C924" t="inlineStr">
        <is>
          <t>PZ-B</t>
        </is>
      </c>
      <c r="D924" t="n">
        <v>24</v>
      </c>
      <c r="E924" t="inlineStr">
        <is>
          <t>H0440</t>
        </is>
      </c>
      <c r="F924" t="inlineStr">
        <is>
          <t>桃園市中壢區圓光路二段283巷</t>
        </is>
      </c>
      <c r="G924" t="n">
        <v>25.0061316</v>
      </c>
      <c r="H924" t="n">
        <v>121.176083</v>
      </c>
      <c r="I924" t="n">
        <v>48</v>
      </c>
      <c r="J924" t="n">
        <v>3</v>
      </c>
      <c r="K924" t="n">
        <v>394.8</v>
      </c>
      <c r="L924" t="inlineStr">
        <is>
          <t>Primary</t>
        </is>
      </c>
    </row>
    <row r="925">
      <c r="A925" t="n">
        <v>5</v>
      </c>
      <c r="B925" s="26" t="inlineStr">
        <is>
          <t>S06</t>
        </is>
      </c>
      <c r="C925" t="inlineStr">
        <is>
          <t>PZ-B</t>
        </is>
      </c>
      <c r="D925" t="n">
        <v>25</v>
      </c>
      <c r="E925" t="inlineStr">
        <is>
          <t>H0335</t>
        </is>
      </c>
      <c r="F925" t="inlineStr">
        <is>
          <t>桃園市中壢區山錦路96號對面工地</t>
        </is>
      </c>
      <c r="G925" t="n">
        <v>24.99535</v>
      </c>
      <c r="H925" t="n">
        <v>121.17715</v>
      </c>
      <c r="I925" t="n">
        <v>8</v>
      </c>
      <c r="J925" t="n">
        <v>3</v>
      </c>
      <c r="K925" t="n">
        <v>405.8</v>
      </c>
      <c r="L925" t="inlineStr">
        <is>
          <t>Primary</t>
        </is>
      </c>
    </row>
    <row r="926">
      <c r="A926" t="n">
        <v>5</v>
      </c>
      <c r="B926" s="26" t="inlineStr">
        <is>
          <t>S06</t>
        </is>
      </c>
      <c r="C926" t="inlineStr">
        <is>
          <t>PZ-B</t>
        </is>
      </c>
      <c r="D926" t="n">
        <v>26</v>
      </c>
      <c r="E926" t="inlineStr">
        <is>
          <t>H0361</t>
        </is>
      </c>
      <c r="F926" t="inlineStr">
        <is>
          <t>桃園市中壢區內厝十一路工地</t>
        </is>
      </c>
      <c r="G926" t="n">
        <v>24.991116</v>
      </c>
      <c r="H926" t="n">
        <v>121.173064</v>
      </c>
      <c r="I926" t="n">
        <v>16</v>
      </c>
      <c r="J926" t="n">
        <v>3</v>
      </c>
      <c r="K926" t="n">
        <v>424.8</v>
      </c>
      <c r="L926" t="inlineStr">
        <is>
          <t>Primary</t>
        </is>
      </c>
    </row>
    <row r="927">
      <c r="A927" t="n">
        <v>5</v>
      </c>
      <c r="B927" s="26" t="inlineStr">
        <is>
          <t>S06</t>
        </is>
      </c>
      <c r="C927" t="inlineStr">
        <is>
          <t>PZ-B</t>
        </is>
      </c>
      <c r="D927" t="n">
        <v>27</v>
      </c>
      <c r="E927" t="inlineStr">
        <is>
          <t>H0330</t>
        </is>
      </c>
      <c r="F927" t="inlineStr">
        <is>
          <t>桃園市中壢區(觀音區)忠愛路二段198之215號對面</t>
        </is>
      </c>
      <c r="G927" t="n">
        <v>25.002894</v>
      </c>
      <c r="H927" t="n">
        <v>121.160603</v>
      </c>
      <c r="I927" t="n">
        <v>8</v>
      </c>
      <c r="J927" t="n">
        <v>4.4</v>
      </c>
      <c r="K927" t="n">
        <v>437.2</v>
      </c>
      <c r="L927" t="inlineStr">
        <is>
          <t>Primary</t>
        </is>
      </c>
    </row>
    <row r="928">
      <c r="A928" t="n">
        <v>5</v>
      </c>
      <c r="B928" s="26" t="inlineStr">
        <is>
          <t>S06</t>
        </is>
      </c>
      <c r="C928" t="inlineStr">
        <is>
          <t>PZ-B</t>
        </is>
      </c>
      <c r="D928" t="n">
        <v>28</v>
      </c>
      <c r="E928" t="inlineStr">
        <is>
          <t>H0457</t>
        </is>
      </c>
      <c r="F928" t="inlineStr">
        <is>
          <t>桃園市中壢區福田路525巷組合屋</t>
        </is>
      </c>
      <c r="G928" t="n">
        <v>24.973511</v>
      </c>
      <c r="H928" t="n">
        <v>121.162647</v>
      </c>
      <c r="I928" t="n">
        <v>8</v>
      </c>
      <c r="J928" t="n">
        <v>7.9</v>
      </c>
      <c r="K928" t="n">
        <v>453</v>
      </c>
      <c r="L928" t="inlineStr">
        <is>
          <t>Primary</t>
        </is>
      </c>
    </row>
    <row r="929">
      <c r="A929" t="n">
        <v>5</v>
      </c>
      <c r="B929" s="26" t="inlineStr">
        <is>
          <t>S06</t>
        </is>
      </c>
      <c r="C929" t="inlineStr">
        <is>
          <t>PZ-B</t>
        </is>
      </c>
      <c r="D929" t="n">
        <v>29</v>
      </c>
      <c r="E929" t="inlineStr">
        <is>
          <t>H0636</t>
        </is>
      </c>
      <c r="F929" t="inlineStr">
        <is>
          <t>桃園市新屋區民族路六段649號</t>
        </is>
      </c>
      <c r="G929" t="n">
        <v>24.964725</v>
      </c>
      <c r="H929" t="n">
        <v>121.15095</v>
      </c>
      <c r="I929" t="n">
        <v>22</v>
      </c>
      <c r="J929" t="n">
        <v>3.7</v>
      </c>
      <c r="K929" t="n">
        <v>478.7</v>
      </c>
      <c r="L929" t="inlineStr">
        <is>
          <t>Primary</t>
        </is>
      </c>
    </row>
    <row r="930">
      <c r="A930" t="n">
        <v>5</v>
      </c>
      <c r="B930" s="26" t="inlineStr">
        <is>
          <t>S06</t>
        </is>
      </c>
      <c r="C930" t="inlineStr">
        <is>
          <t>PZ-B</t>
        </is>
      </c>
      <c r="D930" t="n">
        <v>30</v>
      </c>
      <c r="E930" t="inlineStr">
        <is>
          <t>H0671</t>
        </is>
      </c>
      <c r="F930" t="inlineStr">
        <is>
          <t>桃園市新屋區新洲路82號對面</t>
        </is>
      </c>
      <c r="G930" t="n">
        <v>24.962172</v>
      </c>
      <c r="H930" t="n">
        <v>121.148102</v>
      </c>
      <c r="I930" t="n">
        <v>16</v>
      </c>
      <c r="J930" t="n">
        <v>3</v>
      </c>
      <c r="K930" t="n">
        <v>497.7</v>
      </c>
      <c r="L930" t="inlineStr">
        <is>
          <t>Primary</t>
        </is>
      </c>
    </row>
    <row r="931">
      <c r="A931" t="n">
        <v>5</v>
      </c>
      <c r="B931" s="26" t="inlineStr">
        <is>
          <t>S06</t>
        </is>
      </c>
      <c r="C931" t="inlineStr">
        <is>
          <t>PZ-B</t>
        </is>
      </c>
      <c r="D931" t="n">
        <v>31</v>
      </c>
      <c r="E931" t="inlineStr">
        <is>
          <t>H0661</t>
        </is>
      </c>
      <c r="F931" t="inlineStr">
        <is>
          <t>桃園市新屋區清文路277號</t>
        </is>
      </c>
      <c r="G931" t="n">
        <v>24.976661</v>
      </c>
      <c r="H931" t="n">
        <v>121.1141</v>
      </c>
      <c r="I931" t="n">
        <v>16</v>
      </c>
      <c r="J931" t="n">
        <v>9.1</v>
      </c>
      <c r="K931" t="n">
        <v>522.8</v>
      </c>
      <c r="L931" t="inlineStr">
        <is>
          <t>Primary</t>
        </is>
      </c>
    </row>
    <row r="932">
      <c r="A932" t="n">
        <v>6</v>
      </c>
      <c r="B932" s="26" t="inlineStr">
        <is>
          <t>S06</t>
        </is>
      </c>
      <c r="C932" t="inlineStr">
        <is>
          <t>PZ-B</t>
        </is>
      </c>
      <c r="D932" t="n">
        <v>1</v>
      </c>
      <c r="E932" t="inlineStr">
        <is>
          <t>H0337</t>
        </is>
      </c>
      <c r="F932" t="inlineStr">
        <is>
          <t>桃園市中壢區中大路與中大路1307巷口工地</t>
        </is>
      </c>
      <c r="G932" t="n">
        <v>24.968659</v>
      </c>
      <c r="H932" t="n">
        <v>121.200783</v>
      </c>
      <c r="I932" t="n">
        <v>8</v>
      </c>
      <c r="J932" t="n">
        <v>17.7</v>
      </c>
      <c r="K932" t="n">
        <v>25.7</v>
      </c>
      <c r="L932" t="inlineStr">
        <is>
          <t>Primary</t>
        </is>
      </c>
    </row>
    <row r="933">
      <c r="A933" t="n">
        <v>6</v>
      </c>
      <c r="B933" s="26" t="inlineStr">
        <is>
          <t>S06</t>
        </is>
      </c>
      <c r="C933" t="inlineStr">
        <is>
          <t>PZ-B</t>
        </is>
      </c>
      <c r="D933" t="n">
        <v>2</v>
      </c>
      <c r="E933" t="inlineStr">
        <is>
          <t>H0379</t>
        </is>
      </c>
      <c r="F933" t="inlineStr">
        <is>
          <t>桃園市中壢區永裕路76號旁工地</t>
        </is>
      </c>
      <c r="G933" t="n">
        <v>25.0079457</v>
      </c>
      <c r="H933" t="n">
        <v>121.2010164</v>
      </c>
      <c r="I933" t="n">
        <v>80</v>
      </c>
      <c r="J933" t="n">
        <v>10.5</v>
      </c>
      <c r="K933" t="n">
        <v>116.2</v>
      </c>
      <c r="L933" t="inlineStr">
        <is>
          <t>Primary</t>
        </is>
      </c>
    </row>
    <row r="934">
      <c r="A934" t="n">
        <v>6</v>
      </c>
      <c r="B934" s="26" t="inlineStr">
        <is>
          <t>S06</t>
        </is>
      </c>
      <c r="C934" t="inlineStr">
        <is>
          <t>PZ-B</t>
        </is>
      </c>
      <c r="D934" t="n">
        <v>3</v>
      </c>
      <c r="E934" t="inlineStr">
        <is>
          <t>H0379</t>
        </is>
      </c>
      <c r="F934" t="inlineStr">
        <is>
          <t>桃園市中壢區永裕路76號旁工地</t>
        </is>
      </c>
      <c r="G934" t="n">
        <v>25.009056</v>
      </c>
      <c r="H934" t="n">
        <v>121.200733</v>
      </c>
      <c r="I934" t="n">
        <v>80</v>
      </c>
      <c r="J934" t="n">
        <v>3</v>
      </c>
      <c r="K934" t="n">
        <v>199.2</v>
      </c>
      <c r="L934" t="inlineStr">
        <is>
          <t>Primary</t>
        </is>
      </c>
    </row>
    <row r="935">
      <c r="A935" t="n">
        <v>6</v>
      </c>
      <c r="B935" s="26" t="inlineStr">
        <is>
          <t>S06</t>
        </is>
      </c>
      <c r="C935" t="inlineStr">
        <is>
          <t>PZ-B</t>
        </is>
      </c>
      <c r="D935" t="n">
        <v>4</v>
      </c>
      <c r="E935" t="inlineStr">
        <is>
          <t>H0377</t>
        </is>
      </c>
      <c r="F935" t="inlineStr">
        <is>
          <t>桃園市中壢區永順一街60號</t>
        </is>
      </c>
      <c r="G935" t="n">
        <v>25.011689</v>
      </c>
      <c r="H935" t="n">
        <v>121.207686</v>
      </c>
      <c r="I935" t="n">
        <v>8</v>
      </c>
      <c r="J935" t="n">
        <v>3</v>
      </c>
      <c r="K935" t="n">
        <v>210.2</v>
      </c>
      <c r="L935" t="inlineStr">
        <is>
          <t>Primary</t>
        </is>
      </c>
    </row>
    <row r="936">
      <c r="A936" t="n">
        <v>6</v>
      </c>
      <c r="B936" s="26" t="inlineStr">
        <is>
          <t>S06</t>
        </is>
      </c>
      <c r="C936" t="inlineStr">
        <is>
          <t>PZ-B</t>
        </is>
      </c>
      <c r="D936" t="n">
        <v>5</v>
      </c>
      <c r="E936" t="inlineStr">
        <is>
          <t>H0412</t>
        </is>
      </c>
      <c r="F936" t="inlineStr">
        <is>
          <t>桃園市中壢區青峰路二段12號旁</t>
        </is>
      </c>
      <c r="G936" t="n">
        <v>25.016047</v>
      </c>
      <c r="H936" t="n">
        <v>121.220161</v>
      </c>
      <c r="I936" t="n">
        <v>8</v>
      </c>
      <c r="J936" t="n">
        <v>3.2</v>
      </c>
      <c r="K936" t="n">
        <v>221.4</v>
      </c>
      <c r="L936" t="inlineStr">
        <is>
          <t>Primary</t>
        </is>
      </c>
    </row>
    <row r="937">
      <c r="A937" t="n">
        <v>6</v>
      </c>
      <c r="B937" s="26" t="inlineStr">
        <is>
          <t>S06</t>
        </is>
      </c>
      <c r="C937" t="inlineStr">
        <is>
          <t>PZ-B</t>
        </is>
      </c>
      <c r="D937" t="n">
        <v>6</v>
      </c>
      <c r="E937" t="inlineStr">
        <is>
          <t>H0401</t>
        </is>
      </c>
      <c r="F937" t="inlineStr">
        <is>
          <t>桃園市中壢區青昇一街37號旁</t>
        </is>
      </c>
      <c r="G937" t="n">
        <v>25.016203</v>
      </c>
      <c r="H937" t="n">
        <v>121.22097</v>
      </c>
      <c r="I937" t="n">
        <v>8</v>
      </c>
      <c r="J937" t="n">
        <v>2</v>
      </c>
      <c r="K937" t="n">
        <v>231.4</v>
      </c>
      <c r="L937" t="inlineStr">
        <is>
          <t>Primary</t>
        </is>
      </c>
    </row>
    <row r="938">
      <c r="A938" t="n">
        <v>6</v>
      </c>
      <c r="B938" s="26" t="inlineStr">
        <is>
          <t>S06</t>
        </is>
      </c>
      <c r="C938" t="inlineStr">
        <is>
          <t>PZ-B</t>
        </is>
      </c>
      <c r="D938" t="n">
        <v>7</v>
      </c>
      <c r="E938" t="inlineStr">
        <is>
          <t>H0414</t>
        </is>
      </c>
      <c r="F938" t="inlineStr">
        <is>
          <t>桃園市中壢區青溪路二段35號-青埔宮廟</t>
        </is>
      </c>
      <c r="G938" t="n">
        <v>25.015281</v>
      </c>
      <c r="H938" t="n">
        <v>121.222311</v>
      </c>
      <c r="I938" t="n">
        <v>20</v>
      </c>
      <c r="J938" t="n">
        <v>3</v>
      </c>
      <c r="K938" t="n">
        <v>254.4</v>
      </c>
      <c r="L938" t="inlineStr">
        <is>
          <t>Primary</t>
        </is>
      </c>
    </row>
    <row r="939">
      <c r="A939" t="n">
        <v>6</v>
      </c>
      <c r="B939" s="26" t="inlineStr">
        <is>
          <t>S06</t>
        </is>
      </c>
      <c r="C939" t="inlineStr">
        <is>
          <t>PZ-B</t>
        </is>
      </c>
      <c r="D939" t="n">
        <v>8</v>
      </c>
      <c r="E939" t="inlineStr">
        <is>
          <t>H0411</t>
        </is>
      </c>
      <c r="F939" t="inlineStr">
        <is>
          <t>桃園市中壢區青峰路1段&amp;領航南路交叉轉角</t>
        </is>
      </c>
      <c r="G939" t="n">
        <v>25.019339</v>
      </c>
      <c r="H939" t="n">
        <v>121.223345</v>
      </c>
      <c r="I939" t="n">
        <v>16</v>
      </c>
      <c r="J939" t="n">
        <v>3</v>
      </c>
      <c r="K939" t="n">
        <v>273.4</v>
      </c>
      <c r="L939" t="inlineStr">
        <is>
          <t>Primary</t>
        </is>
      </c>
    </row>
    <row r="940">
      <c r="A940" t="n">
        <v>6</v>
      </c>
      <c r="B940" s="26" t="inlineStr">
        <is>
          <t>S06</t>
        </is>
      </c>
      <c r="C940" t="inlineStr">
        <is>
          <t>PZ-B</t>
        </is>
      </c>
      <c r="D940" t="n">
        <v>9</v>
      </c>
      <c r="E940" t="inlineStr">
        <is>
          <t>H0409</t>
        </is>
      </c>
      <c r="F940" t="inlineStr">
        <is>
          <t>桃園市中壢區青埔四街220號附近</t>
        </is>
      </c>
      <c r="G940" t="n">
        <v>25.006736</v>
      </c>
      <c r="H940" t="n">
        <v>121.221359</v>
      </c>
      <c r="I940" t="n">
        <v>8</v>
      </c>
      <c r="J940" t="n">
        <v>3.4</v>
      </c>
      <c r="K940" t="n">
        <v>284.8</v>
      </c>
      <c r="L940" t="inlineStr">
        <is>
          <t>Primary</t>
        </is>
      </c>
    </row>
    <row r="941">
      <c r="A941" t="n">
        <v>6</v>
      </c>
      <c r="B941" s="26" t="inlineStr">
        <is>
          <t>S06</t>
        </is>
      </c>
      <c r="C941" t="inlineStr">
        <is>
          <t>PZ-B</t>
        </is>
      </c>
      <c r="D941" t="n">
        <v>10</v>
      </c>
      <c r="E941" t="inlineStr">
        <is>
          <t>H0383</t>
        </is>
      </c>
      <c r="F941" t="inlineStr">
        <is>
          <t>桃園市中壢區合圳北路二段160巷20弄11號</t>
        </is>
      </c>
      <c r="G941" t="n">
        <v>24.999211</v>
      </c>
      <c r="H941" t="n">
        <v>121.246936</v>
      </c>
      <c r="I941" t="n">
        <v>16</v>
      </c>
      <c r="J941" t="n">
        <v>6.5</v>
      </c>
      <c r="K941" t="n">
        <v>307.3</v>
      </c>
      <c r="L941" t="inlineStr">
        <is>
          <t>Primary</t>
        </is>
      </c>
    </row>
    <row r="942">
      <c r="A942" t="n">
        <v>6</v>
      </c>
      <c r="B942" s="26" t="inlineStr">
        <is>
          <t>S06</t>
        </is>
      </c>
      <c r="C942" t="inlineStr">
        <is>
          <t>PZ-B</t>
        </is>
      </c>
      <c r="D942" t="n">
        <v>11</v>
      </c>
      <c r="E942" t="inlineStr">
        <is>
          <t>H0552</t>
        </is>
      </c>
      <c r="F942" t="inlineStr">
        <is>
          <t>桃園市桃園區(近中壢)龍山街218巷2號</t>
        </is>
      </c>
      <c r="G942" t="n">
        <v>24.981736</v>
      </c>
      <c r="H942" t="n">
        <v>121.261531</v>
      </c>
      <c r="I942" t="n">
        <v>8</v>
      </c>
      <c r="J942" t="n">
        <v>5.8</v>
      </c>
      <c r="K942" t="n">
        <v>321.1</v>
      </c>
      <c r="L942" t="inlineStr">
        <is>
          <t>Primary</t>
        </is>
      </c>
    </row>
    <row r="943">
      <c r="A943" t="n">
        <v>6</v>
      </c>
      <c r="B943" s="26" t="inlineStr">
        <is>
          <t>S06</t>
        </is>
      </c>
      <c r="C943" t="inlineStr">
        <is>
          <t>PZ-B</t>
        </is>
      </c>
      <c r="D943" t="n">
        <v>12</v>
      </c>
      <c r="E943" t="inlineStr">
        <is>
          <t>H0039</t>
        </is>
      </c>
      <c r="F943" t="inlineStr">
        <is>
          <t>桃園市八德區茄苳路79號對面</t>
        </is>
      </c>
      <c r="G943" t="n">
        <v>24.984583</v>
      </c>
      <c r="H943" t="n">
        <v>121.280867</v>
      </c>
      <c r="I943" t="n">
        <v>8</v>
      </c>
      <c r="J943" t="n">
        <v>4.7</v>
      </c>
      <c r="K943" t="n">
        <v>333.9</v>
      </c>
      <c r="L943" t="inlineStr">
        <is>
          <t>Primary</t>
        </is>
      </c>
    </row>
    <row r="944">
      <c r="A944" t="n">
        <v>6</v>
      </c>
      <c r="B944" s="26" t="inlineStr">
        <is>
          <t>S06</t>
        </is>
      </c>
      <c r="C944" t="inlineStr">
        <is>
          <t>PZ-B</t>
        </is>
      </c>
      <c r="D944" t="n">
        <v>13</v>
      </c>
      <c r="E944" t="inlineStr">
        <is>
          <t>H0040</t>
        </is>
      </c>
      <c r="F944" t="inlineStr">
        <is>
          <t>桃園市八德區茄苳路79號對面-追加</t>
        </is>
      </c>
      <c r="G944" t="n">
        <v>24.98435</v>
      </c>
      <c r="H944" t="n">
        <v>121.281017</v>
      </c>
      <c r="I944" t="n">
        <v>16</v>
      </c>
      <c r="J944" t="n">
        <v>2</v>
      </c>
      <c r="K944" t="n">
        <v>351.9</v>
      </c>
      <c r="L944" t="inlineStr">
        <is>
          <t>Primary</t>
        </is>
      </c>
    </row>
    <row r="945">
      <c r="A945" t="n">
        <v>6</v>
      </c>
      <c r="B945" s="26" t="inlineStr">
        <is>
          <t>S06</t>
        </is>
      </c>
      <c r="C945" t="inlineStr">
        <is>
          <t>PZ-B</t>
        </is>
      </c>
      <c r="D945" t="n">
        <v>14</v>
      </c>
      <c r="E945" t="inlineStr">
        <is>
          <t>H0551</t>
        </is>
      </c>
      <c r="F945" t="inlineStr">
        <is>
          <t>桃園市桃園區(近八德)國際路一段950巷-電聯帶定位</t>
        </is>
      </c>
      <c r="G945" t="n">
        <v>24.983084</v>
      </c>
      <c r="H945" t="n">
        <v>121.292686</v>
      </c>
      <c r="I945" t="n">
        <v>8</v>
      </c>
      <c r="J945" t="n">
        <v>3</v>
      </c>
      <c r="K945" t="n">
        <v>362.9</v>
      </c>
      <c r="L945" t="inlineStr">
        <is>
          <t>Primary</t>
        </is>
      </c>
    </row>
    <row r="946">
      <c r="A946" t="n">
        <v>6</v>
      </c>
      <c r="B946" s="26" t="inlineStr">
        <is>
          <t>S06</t>
        </is>
      </c>
      <c r="C946" t="inlineStr">
        <is>
          <t>PZ-B</t>
        </is>
      </c>
      <c r="D946" t="n">
        <v>15</v>
      </c>
      <c r="E946" t="inlineStr">
        <is>
          <t>H0011</t>
        </is>
      </c>
      <c r="F946" t="inlineStr">
        <is>
          <t>桃園市八德區正福一街52號旁-從後門工務所進入</t>
        </is>
      </c>
      <c r="G946" t="n">
        <v>24.970336</v>
      </c>
      <c r="H946" t="n">
        <v>121.297691</v>
      </c>
      <c r="I946" t="n">
        <v>8</v>
      </c>
      <c r="J946" t="n">
        <v>3.6</v>
      </c>
      <c r="K946" t="n">
        <v>374.5</v>
      </c>
      <c r="L946" t="inlineStr">
        <is>
          <t>Primary</t>
        </is>
      </c>
    </row>
    <row r="947">
      <c r="A947" t="n">
        <v>6</v>
      </c>
      <c r="B947" s="26" t="inlineStr">
        <is>
          <t>S06</t>
        </is>
      </c>
      <c r="C947" t="inlineStr">
        <is>
          <t>PZ-B</t>
        </is>
      </c>
      <c r="D947" t="n">
        <v>16</v>
      </c>
      <c r="E947" t="inlineStr">
        <is>
          <t>H0019</t>
        </is>
      </c>
      <c r="F947" t="inlineStr">
        <is>
          <t>桃園市八德區忠勇五街130號旁</t>
        </is>
      </c>
      <c r="G947" t="n">
        <v>24.966703</v>
      </c>
      <c r="H947" t="n">
        <v>121.304642</v>
      </c>
      <c r="I947" t="n">
        <v>16</v>
      </c>
      <c r="J947" t="n">
        <v>3</v>
      </c>
      <c r="K947" t="n">
        <v>393.5</v>
      </c>
      <c r="L947" t="inlineStr">
        <is>
          <t>Primary</t>
        </is>
      </c>
    </row>
    <row r="948">
      <c r="A948" t="n">
        <v>6</v>
      </c>
      <c r="B948" s="26" t="inlineStr">
        <is>
          <t>S06</t>
        </is>
      </c>
      <c r="C948" t="inlineStr">
        <is>
          <t>PZ-B</t>
        </is>
      </c>
      <c r="D948" t="n">
        <v>17</v>
      </c>
      <c r="E948" t="inlineStr">
        <is>
          <t>H0027</t>
        </is>
      </c>
      <c r="F948" t="inlineStr">
        <is>
          <t>桃園市八德區建國路1165號旁工地</t>
        </is>
      </c>
      <c r="G948" t="n">
        <v>24.957</v>
      </c>
      <c r="H948" t="n">
        <v>121.296989</v>
      </c>
      <c r="I948" t="n">
        <v>8</v>
      </c>
      <c r="J948" t="n">
        <v>3.2</v>
      </c>
      <c r="K948" t="n">
        <v>404.7</v>
      </c>
      <c r="L948" t="inlineStr">
        <is>
          <t>Primary</t>
        </is>
      </c>
    </row>
    <row r="949">
      <c r="A949" t="n">
        <v>6</v>
      </c>
      <c r="B949" s="26" t="inlineStr">
        <is>
          <t>S06</t>
        </is>
      </c>
      <c r="C949" t="inlineStr">
        <is>
          <t>PZ-B</t>
        </is>
      </c>
      <c r="D949" t="n">
        <v>18</v>
      </c>
      <c r="E949" t="inlineStr">
        <is>
          <t>H0667</t>
        </is>
      </c>
      <c r="F949" t="inlineStr">
        <is>
          <t>桃園市新屋區新文路480號旁</t>
        </is>
      </c>
      <c r="G949" t="n">
        <v>24.97677</v>
      </c>
      <c r="H949" t="n">
        <v>121.113733</v>
      </c>
      <c r="I949" t="n">
        <v>8</v>
      </c>
      <c r="J949" t="n">
        <v>18.6</v>
      </c>
      <c r="K949" t="n">
        <v>431.3</v>
      </c>
      <c r="L949" t="inlineStr">
        <is>
          <t>Primary</t>
        </is>
      </c>
    </row>
    <row r="950">
      <c r="A950" t="n">
        <v>6</v>
      </c>
      <c r="B950" s="26" t="inlineStr">
        <is>
          <t>S06</t>
        </is>
      </c>
      <c r="C950" t="inlineStr">
        <is>
          <t>PZ-B</t>
        </is>
      </c>
      <c r="D950" t="n">
        <v>19</v>
      </c>
      <c r="E950" t="inlineStr">
        <is>
          <t>H0664</t>
        </is>
      </c>
      <c r="F950" t="inlineStr">
        <is>
          <t>桃園市新屋區清華里北勢41之22號旁</t>
        </is>
      </c>
      <c r="G950" t="n">
        <v>24.9835695</v>
      </c>
      <c r="H950" t="n">
        <v>121.11178275</v>
      </c>
      <c r="I950" t="n">
        <v>32</v>
      </c>
      <c r="J950" t="n">
        <v>3</v>
      </c>
      <c r="K950" t="n">
        <v>466.3</v>
      </c>
      <c r="L950" t="inlineStr">
        <is>
          <t>Primary</t>
        </is>
      </c>
    </row>
    <row r="951">
      <c r="A951" t="n">
        <v>6</v>
      </c>
      <c r="B951" s="26" t="inlineStr">
        <is>
          <t>S06</t>
        </is>
      </c>
      <c r="C951" t="inlineStr">
        <is>
          <t>PZ-B</t>
        </is>
      </c>
      <c r="D951" t="n">
        <v>20</v>
      </c>
      <c r="E951" t="inlineStr">
        <is>
          <t>H0979</t>
        </is>
      </c>
      <c r="F951" t="inlineStr">
        <is>
          <t>桃園市觀音區(新屋區)成功路１段647號後面工地-電聯帶定位</t>
        </is>
      </c>
      <c r="G951" t="n">
        <v>24.996925</v>
      </c>
      <c r="H951" t="n">
        <v>121.100072</v>
      </c>
      <c r="I951" t="n">
        <v>8</v>
      </c>
      <c r="J951" t="n">
        <v>4.6</v>
      </c>
      <c r="K951" t="n">
        <v>478.8</v>
      </c>
      <c r="L951" t="inlineStr">
        <is>
          <t>Primary</t>
        </is>
      </c>
    </row>
    <row r="952">
      <c r="A952" t="n">
        <v>6</v>
      </c>
      <c r="B952" s="26" t="inlineStr">
        <is>
          <t>S06</t>
        </is>
      </c>
      <c r="C952" t="inlineStr">
        <is>
          <t>PZ-B</t>
        </is>
      </c>
      <c r="D952" t="n">
        <v>21</v>
      </c>
      <c r="E952" t="inlineStr">
        <is>
          <t>H0637</t>
        </is>
      </c>
      <c r="F952" t="inlineStr">
        <is>
          <t>桃園市新屋區永田路到底工地</t>
        </is>
      </c>
      <c r="G952" t="n">
        <v>24.985997</v>
      </c>
      <c r="H952" t="n">
        <v>121.045966</v>
      </c>
      <c r="I952" t="n">
        <v>8</v>
      </c>
      <c r="J952" t="n">
        <v>13.4</v>
      </c>
      <c r="K952" t="n">
        <v>500.2</v>
      </c>
      <c r="L952" t="inlineStr">
        <is>
          <t>Primary</t>
        </is>
      </c>
    </row>
    <row r="953">
      <c r="A953" t="n">
        <v>1</v>
      </c>
      <c r="B953" s="27" t="inlineStr">
        <is>
          <t>S07</t>
        </is>
      </c>
      <c r="C953" t="inlineStr">
        <is>
          <t>PZ-B</t>
        </is>
      </c>
      <c r="D953" t="n">
        <v>1</v>
      </c>
      <c r="E953" t="inlineStr">
        <is>
          <t>H0494</t>
        </is>
      </c>
      <c r="F953" t="inlineStr">
        <is>
          <t>桃園市平鎮區平東路一段40號</t>
        </is>
      </c>
      <c r="G953" t="n">
        <v>24.911497</v>
      </c>
      <c r="H953" t="n">
        <v>121.2369</v>
      </c>
      <c r="I953" t="n">
        <v>8</v>
      </c>
      <c r="J953" t="n">
        <v>3</v>
      </c>
      <c r="K953" t="n">
        <v>11</v>
      </c>
      <c r="L953" t="inlineStr">
        <is>
          <t>Primary</t>
        </is>
      </c>
    </row>
    <row r="954">
      <c r="A954" t="n">
        <v>1</v>
      </c>
      <c r="B954" s="27" t="inlineStr">
        <is>
          <t>S07</t>
        </is>
      </c>
      <c r="C954" t="inlineStr">
        <is>
          <t>PZ-B</t>
        </is>
      </c>
      <c r="D954" t="n">
        <v>2</v>
      </c>
      <c r="E954" t="inlineStr">
        <is>
          <t>H0507</t>
        </is>
      </c>
      <c r="F954" t="inlineStr">
        <is>
          <t>桃園市平鎮區金陵路四段-電聯帶定位</t>
        </is>
      </c>
      <c r="G954" t="n">
        <v>24.919595</v>
      </c>
      <c r="H954" t="n">
        <v>121.229864</v>
      </c>
      <c r="I954" t="n">
        <v>16</v>
      </c>
      <c r="J954" t="n">
        <v>3</v>
      </c>
      <c r="K954" t="n">
        <v>30</v>
      </c>
      <c r="L954" t="inlineStr">
        <is>
          <t>Primary</t>
        </is>
      </c>
    </row>
    <row r="955">
      <c r="A955" t="n">
        <v>1</v>
      </c>
      <c r="B955" s="27" t="inlineStr">
        <is>
          <t>S07</t>
        </is>
      </c>
      <c r="C955" t="inlineStr">
        <is>
          <t>PZ-B</t>
        </is>
      </c>
      <c r="D955" t="n">
        <v>3</v>
      </c>
      <c r="E955" t="inlineStr">
        <is>
          <t>H0484</t>
        </is>
      </c>
      <c r="F955" t="inlineStr">
        <is>
          <t>桃園市平鎮區大勇街孝順巷36號</t>
        </is>
      </c>
      <c r="G955" t="n">
        <v>24.92975</v>
      </c>
      <c r="H955" t="n">
        <v>121.223845</v>
      </c>
      <c r="I955" t="n">
        <v>8</v>
      </c>
      <c r="J955" t="n">
        <v>3.1</v>
      </c>
      <c r="K955" t="n">
        <v>41.1</v>
      </c>
      <c r="L955" t="inlineStr">
        <is>
          <t>Primary</t>
        </is>
      </c>
    </row>
    <row r="956">
      <c r="A956" t="n">
        <v>1</v>
      </c>
      <c r="B956" s="27" t="inlineStr">
        <is>
          <t>S07</t>
        </is>
      </c>
      <c r="C956" t="inlineStr">
        <is>
          <t>PZ-B</t>
        </is>
      </c>
      <c r="D956" t="n">
        <v>4</v>
      </c>
      <c r="E956" t="inlineStr">
        <is>
          <t>H0547</t>
        </is>
      </c>
      <c r="F956" t="inlineStr">
        <is>
          <t>桃園市平鎮區關爺西路38巷18弄17號</t>
        </is>
      </c>
      <c r="G956" t="n">
        <v>24.930356</v>
      </c>
      <c r="H956" t="n">
        <v>121.216558</v>
      </c>
      <c r="I956" t="n">
        <v>8</v>
      </c>
      <c r="J956" t="n">
        <v>3</v>
      </c>
      <c r="K956" t="n">
        <v>52.1</v>
      </c>
      <c r="L956" t="inlineStr">
        <is>
          <t>Primary</t>
        </is>
      </c>
    </row>
    <row r="957">
      <c r="A957" t="n">
        <v>1</v>
      </c>
      <c r="B957" s="27" t="inlineStr">
        <is>
          <t>S07</t>
        </is>
      </c>
      <c r="C957" t="inlineStr">
        <is>
          <t>PZ-B</t>
        </is>
      </c>
      <c r="D957" t="n">
        <v>5</v>
      </c>
      <c r="E957" t="inlineStr">
        <is>
          <t>H0540</t>
        </is>
      </c>
      <c r="F957" t="inlineStr">
        <is>
          <t>桃園市平鎮區興埔路275號</t>
        </is>
      </c>
      <c r="G957" t="n">
        <v>24.935161</v>
      </c>
      <c r="H957" t="n">
        <v>121.218289</v>
      </c>
      <c r="I957" t="n">
        <v>8</v>
      </c>
      <c r="J957" t="n">
        <v>3</v>
      </c>
      <c r="K957" t="n">
        <v>63.1</v>
      </c>
      <c r="L957" t="inlineStr">
        <is>
          <t>Primary</t>
        </is>
      </c>
    </row>
    <row r="958">
      <c r="A958" t="n">
        <v>1</v>
      </c>
      <c r="B958" s="27" t="inlineStr">
        <is>
          <t>S07</t>
        </is>
      </c>
      <c r="C958" t="inlineStr">
        <is>
          <t>PZ-B</t>
        </is>
      </c>
      <c r="D958" t="n">
        <v>6</v>
      </c>
      <c r="E958" t="inlineStr">
        <is>
          <t>H0546</t>
        </is>
      </c>
      <c r="F958" t="inlineStr">
        <is>
          <t>桃園市平鎮區環南路三段35號</t>
        </is>
      </c>
      <c r="G958" t="n">
        <v>24.94023</v>
      </c>
      <c r="H958" t="n">
        <v>121.217211</v>
      </c>
      <c r="I958" t="n">
        <v>8</v>
      </c>
      <c r="J958" t="n">
        <v>3</v>
      </c>
      <c r="K958" t="n">
        <v>74.09999999999999</v>
      </c>
      <c r="L958" t="inlineStr">
        <is>
          <t>Primary</t>
        </is>
      </c>
    </row>
    <row r="959">
      <c r="A959" t="n">
        <v>1</v>
      </c>
      <c r="B959" s="27" t="inlineStr">
        <is>
          <t>S07</t>
        </is>
      </c>
      <c r="C959" t="inlineStr">
        <is>
          <t>PZ-B</t>
        </is>
      </c>
      <c r="D959" t="n">
        <v>7</v>
      </c>
      <c r="E959" t="inlineStr">
        <is>
          <t>H0527</t>
        </is>
      </c>
      <c r="F959" t="inlineStr">
        <is>
          <t>桃園市平鎮區新富四街&amp;新富一街交叉口</t>
        </is>
      </c>
      <c r="G959" t="n">
        <v>24.941977</v>
      </c>
      <c r="H959" t="n">
        <v>121.213825</v>
      </c>
      <c r="I959" t="n">
        <v>8</v>
      </c>
      <c r="J959" t="n">
        <v>3</v>
      </c>
      <c r="K959" t="n">
        <v>85.09999999999999</v>
      </c>
      <c r="L959" t="inlineStr">
        <is>
          <t>Primary</t>
        </is>
      </c>
    </row>
    <row r="960">
      <c r="A960" t="n">
        <v>1</v>
      </c>
      <c r="B960" s="27" t="inlineStr">
        <is>
          <t>S07</t>
        </is>
      </c>
      <c r="C960" t="inlineStr">
        <is>
          <t>PZ-B</t>
        </is>
      </c>
      <c r="D960" t="n">
        <v>8</v>
      </c>
      <c r="E960" t="inlineStr">
        <is>
          <t>H0482</t>
        </is>
      </c>
      <c r="F960" t="inlineStr">
        <is>
          <t>桃園市平鎮區(中壢區)環南路二段191巷6弄-CJ18</t>
        </is>
      </c>
      <c r="G960" t="n">
        <v>24.940439</v>
      </c>
      <c r="H960" t="n">
        <v>121.212083</v>
      </c>
      <c r="I960" t="n">
        <v>8</v>
      </c>
      <c r="J960" t="n">
        <v>3</v>
      </c>
      <c r="K960" t="n">
        <v>96.09999999999999</v>
      </c>
      <c r="L960" t="inlineStr">
        <is>
          <t>Primary</t>
        </is>
      </c>
    </row>
    <row r="961">
      <c r="A961" t="n">
        <v>1</v>
      </c>
      <c r="B961" s="27" t="inlineStr">
        <is>
          <t>S07</t>
        </is>
      </c>
      <c r="C961" t="inlineStr">
        <is>
          <t>PZ-B</t>
        </is>
      </c>
      <c r="D961" t="n">
        <v>9</v>
      </c>
      <c r="E961" t="inlineStr">
        <is>
          <t>H0529</t>
        </is>
      </c>
      <c r="F961" t="inlineStr">
        <is>
          <t>桃園市平鎮區新富街198號對面-CJ18</t>
        </is>
      </c>
      <c r="G961" t="n">
        <v>24.940358</v>
      </c>
      <c r="H961" t="n">
        <v>121.211986</v>
      </c>
      <c r="I961" t="n">
        <v>8</v>
      </c>
      <c r="J961" t="n">
        <v>2</v>
      </c>
      <c r="K961" t="n">
        <v>106.1</v>
      </c>
      <c r="L961" t="inlineStr">
        <is>
          <t>Primary</t>
        </is>
      </c>
    </row>
    <row r="962">
      <c r="A962" t="n">
        <v>1</v>
      </c>
      <c r="B962" s="27" t="inlineStr">
        <is>
          <t>S07</t>
        </is>
      </c>
      <c r="C962" t="inlineStr">
        <is>
          <t>PZ-B</t>
        </is>
      </c>
      <c r="D962" t="n">
        <v>10</v>
      </c>
      <c r="E962" t="inlineStr">
        <is>
          <t>H0483</t>
        </is>
      </c>
      <c r="F962" t="inlineStr">
        <is>
          <t>桃園市平鎮區大昌路57巷1號附近工地</t>
        </is>
      </c>
      <c r="G962" t="n">
        <v>24.939786</v>
      </c>
      <c r="H962" t="n">
        <v>121.211269</v>
      </c>
      <c r="I962" t="n">
        <v>8</v>
      </c>
      <c r="J962" t="n">
        <v>2</v>
      </c>
      <c r="K962" t="n">
        <v>116.1</v>
      </c>
      <c r="L962" t="inlineStr">
        <is>
          <t>Primary</t>
        </is>
      </c>
    </row>
    <row r="963">
      <c r="A963" t="n">
        <v>1</v>
      </c>
      <c r="B963" s="27" t="inlineStr">
        <is>
          <t>S07</t>
        </is>
      </c>
      <c r="C963" t="inlineStr">
        <is>
          <t>PZ-B</t>
        </is>
      </c>
      <c r="D963" t="n">
        <v>11</v>
      </c>
      <c r="E963" t="inlineStr">
        <is>
          <t>H0524</t>
        </is>
      </c>
      <c r="F963" t="inlineStr">
        <is>
          <t>桃園市平鎮區新光路3段150-3號-CJ18</t>
        </is>
      </c>
      <c r="G963" t="n">
        <v>24.938491</v>
      </c>
      <c r="H963" t="n">
        <v>121.210289</v>
      </c>
      <c r="I963" t="n">
        <v>8</v>
      </c>
      <c r="J963" t="n">
        <v>3</v>
      </c>
      <c r="K963" t="n">
        <v>127.1</v>
      </c>
      <c r="L963" t="inlineStr">
        <is>
          <t>Primary</t>
        </is>
      </c>
    </row>
    <row r="964">
      <c r="A964" t="n">
        <v>1</v>
      </c>
      <c r="B964" s="27" t="inlineStr">
        <is>
          <t>S07</t>
        </is>
      </c>
      <c r="C964" t="inlineStr">
        <is>
          <t>PZ-B</t>
        </is>
      </c>
      <c r="D964" t="n">
        <v>12</v>
      </c>
      <c r="E964" t="inlineStr">
        <is>
          <t>H0530</t>
        </is>
      </c>
      <c r="F964" t="inlineStr">
        <is>
          <t>桃園市平鎮區新富橋619號-附路線圖-CJ18標</t>
        </is>
      </c>
      <c r="G964" t="n">
        <v>24.938611</v>
      </c>
      <c r="H964" t="n">
        <v>121.210083</v>
      </c>
      <c r="I964" t="n">
        <v>8</v>
      </c>
      <c r="J964" t="n">
        <v>2</v>
      </c>
      <c r="K964" t="n">
        <v>137.1</v>
      </c>
      <c r="L964" t="inlineStr">
        <is>
          <t>Primary</t>
        </is>
      </c>
    </row>
    <row r="965">
      <c r="A965" t="n">
        <v>1</v>
      </c>
      <c r="B965" s="27" t="inlineStr">
        <is>
          <t>S07</t>
        </is>
      </c>
      <c r="C965" t="inlineStr">
        <is>
          <t>PZ-B</t>
        </is>
      </c>
      <c r="D965" t="n">
        <v>13</v>
      </c>
      <c r="E965" t="inlineStr">
        <is>
          <t>H0525</t>
        </is>
      </c>
      <c r="F965" t="inlineStr">
        <is>
          <t>桃園市平鎮區新光路二段9巷72弄-附座標CJ18</t>
        </is>
      </c>
      <c r="G965" t="n">
        <v>24.935514</v>
      </c>
      <c r="H965" t="n">
        <v>121.208086</v>
      </c>
      <c r="I965" t="n">
        <v>8</v>
      </c>
      <c r="J965" t="n">
        <v>3</v>
      </c>
      <c r="K965" t="n">
        <v>148.1</v>
      </c>
      <c r="L965" t="inlineStr">
        <is>
          <t>Primary</t>
        </is>
      </c>
    </row>
    <row r="966">
      <c r="A966" t="n">
        <v>1</v>
      </c>
      <c r="B966" s="27" t="inlineStr">
        <is>
          <t>S07</t>
        </is>
      </c>
      <c r="C966" t="inlineStr">
        <is>
          <t>PZ-B</t>
        </is>
      </c>
      <c r="D966" t="n">
        <v>14</v>
      </c>
      <c r="E966" t="inlineStr">
        <is>
          <t>H0523</t>
        </is>
      </c>
      <c r="F966" t="inlineStr">
        <is>
          <t>桃園市平鎮區新光路24°56'01.0"N 121°12'16.2"E-CJ18標</t>
        </is>
      </c>
      <c r="G966" t="n">
        <v>24.93378</v>
      </c>
      <c r="H966" t="n">
        <v>121.204622</v>
      </c>
      <c r="I966" t="n">
        <v>8</v>
      </c>
      <c r="J966" t="n">
        <v>3</v>
      </c>
      <c r="K966" t="n">
        <v>159.1</v>
      </c>
      <c r="L966" t="inlineStr">
        <is>
          <t>Primary</t>
        </is>
      </c>
    </row>
    <row r="967">
      <c r="A967" t="n">
        <v>1</v>
      </c>
      <c r="B967" s="27" t="inlineStr">
        <is>
          <t>S07</t>
        </is>
      </c>
      <c r="C967" t="inlineStr">
        <is>
          <t>PZ-B</t>
        </is>
      </c>
      <c r="D967" t="n">
        <v>15</v>
      </c>
      <c r="E967" t="inlineStr">
        <is>
          <t>H0535</t>
        </is>
      </c>
      <c r="F967" t="inlineStr">
        <is>
          <t>桃園市平鎮區廣泰路303號</t>
        </is>
      </c>
      <c r="G967" t="n">
        <v>24.942061</v>
      </c>
      <c r="H967" t="n">
        <v>121.205519</v>
      </c>
      <c r="I967" t="n">
        <v>8</v>
      </c>
      <c r="J967" t="n">
        <v>3</v>
      </c>
      <c r="K967" t="n">
        <v>170.1</v>
      </c>
      <c r="L967" t="inlineStr">
        <is>
          <t>Primary</t>
        </is>
      </c>
    </row>
    <row r="968">
      <c r="A968" t="n">
        <v>1</v>
      </c>
      <c r="B968" s="27" t="inlineStr">
        <is>
          <t>S07</t>
        </is>
      </c>
      <c r="C968" t="inlineStr">
        <is>
          <t>PZ-B</t>
        </is>
      </c>
      <c r="D968" t="n">
        <v>16</v>
      </c>
      <c r="E968" t="inlineStr">
        <is>
          <t>H0534</t>
        </is>
      </c>
      <c r="F968" t="inlineStr">
        <is>
          <t>桃園市平鎮區廣泰路266號旁工地</t>
        </is>
      </c>
      <c r="G968" t="n">
        <v>24.942708</v>
      </c>
      <c r="H968" t="n">
        <v>121.203744</v>
      </c>
      <c r="I968" t="n">
        <v>16</v>
      </c>
      <c r="J968" t="n">
        <v>3</v>
      </c>
      <c r="K968" t="n">
        <v>189.1</v>
      </c>
      <c r="L968" t="inlineStr">
        <is>
          <t>Primary</t>
        </is>
      </c>
    </row>
    <row r="969">
      <c r="A969" t="n">
        <v>1</v>
      </c>
      <c r="B969" s="27" t="inlineStr">
        <is>
          <t>S07</t>
        </is>
      </c>
      <c r="C969" t="inlineStr">
        <is>
          <t>PZ-B</t>
        </is>
      </c>
      <c r="D969" t="n">
        <v>17</v>
      </c>
      <c r="E969" t="inlineStr">
        <is>
          <t>H0526</t>
        </is>
      </c>
      <c r="F969" t="inlineStr">
        <is>
          <t>桃園市平鎮區新富一街11號對面-CJ18</t>
        </is>
      </c>
      <c r="G969" t="n">
        <v>24.945491</v>
      </c>
      <c r="H969" t="n">
        <v>121.200408</v>
      </c>
      <c r="I969" t="n">
        <v>8</v>
      </c>
      <c r="J969" t="n">
        <v>3</v>
      </c>
      <c r="K969" t="n">
        <v>200.1</v>
      </c>
      <c r="L969" t="inlineStr">
        <is>
          <t>Primary</t>
        </is>
      </c>
    </row>
    <row r="970">
      <c r="A970" t="n">
        <v>1</v>
      </c>
      <c r="B970" s="27" t="inlineStr">
        <is>
          <t>S07</t>
        </is>
      </c>
      <c r="C970" t="inlineStr">
        <is>
          <t>PZ-B</t>
        </is>
      </c>
      <c r="D970" t="n">
        <v>18</v>
      </c>
      <c r="E970" t="inlineStr">
        <is>
          <t>H0517</t>
        </is>
      </c>
      <c r="F970" t="inlineStr">
        <is>
          <t>桃園市平鎮區復旦路三段45號旁</t>
        </is>
      </c>
      <c r="G970" t="n">
        <v>24.945208</v>
      </c>
      <c r="H970" t="n">
        <v>121.198569</v>
      </c>
      <c r="I970" t="n">
        <v>24</v>
      </c>
      <c r="J970" t="n">
        <v>3</v>
      </c>
      <c r="K970" t="n">
        <v>227.1</v>
      </c>
      <c r="L970" t="inlineStr">
        <is>
          <t>Primary</t>
        </is>
      </c>
    </row>
    <row r="971">
      <c r="A971" t="n">
        <v>1</v>
      </c>
      <c r="B971" s="27" t="inlineStr">
        <is>
          <t>S07</t>
        </is>
      </c>
      <c r="C971" t="inlineStr">
        <is>
          <t>PZ-B</t>
        </is>
      </c>
      <c r="D971" t="n">
        <v>19</v>
      </c>
      <c r="E971" t="inlineStr">
        <is>
          <t>H0538</t>
        </is>
      </c>
      <c r="F971" t="inlineStr">
        <is>
          <t>桃園市平鎮區賦梅北路255之1號</t>
        </is>
      </c>
      <c r="G971" t="n">
        <v>24.938666</v>
      </c>
      <c r="H971" t="n">
        <v>121.194616</v>
      </c>
      <c r="I971" t="n">
        <v>8</v>
      </c>
      <c r="J971" t="n">
        <v>3</v>
      </c>
      <c r="K971" t="n">
        <v>238.1</v>
      </c>
      <c r="L971" t="inlineStr">
        <is>
          <t>Primary</t>
        </is>
      </c>
    </row>
    <row r="972">
      <c r="A972" t="n">
        <v>1</v>
      </c>
      <c r="B972" s="27" t="inlineStr">
        <is>
          <t>S07</t>
        </is>
      </c>
      <c r="C972" t="inlineStr">
        <is>
          <t>PZ-B</t>
        </is>
      </c>
      <c r="D972" t="n">
        <v>20</v>
      </c>
      <c r="E972" t="inlineStr">
        <is>
          <t>H0539</t>
        </is>
      </c>
      <c r="F972" t="inlineStr">
        <is>
          <t>桃園市平鎮區賦梅北路493號-停車場</t>
        </is>
      </c>
      <c r="G972" t="n">
        <v>24.934608</v>
      </c>
      <c r="H972" t="n">
        <v>121.193016</v>
      </c>
      <c r="I972" t="n">
        <v>8</v>
      </c>
      <c r="J972" t="n">
        <v>3</v>
      </c>
      <c r="K972" t="n">
        <v>249.1</v>
      </c>
      <c r="L972" t="inlineStr">
        <is>
          <t>Primary</t>
        </is>
      </c>
    </row>
    <row r="973">
      <c r="A973" t="n">
        <v>1</v>
      </c>
      <c r="B973" s="27" t="inlineStr">
        <is>
          <t>S07</t>
        </is>
      </c>
      <c r="C973" t="inlineStr">
        <is>
          <t>PZ-B</t>
        </is>
      </c>
      <c r="D973" t="n">
        <v>21</v>
      </c>
      <c r="E973" t="inlineStr">
        <is>
          <t>H0687</t>
        </is>
      </c>
      <c r="F973" t="inlineStr">
        <is>
          <t>桃園市楊梅區幼平街383巷185弄</t>
        </is>
      </c>
      <c r="G973" t="n">
        <v>24.935575</v>
      </c>
      <c r="H973" t="n">
        <v>121.179917</v>
      </c>
      <c r="I973" t="n">
        <v>24</v>
      </c>
      <c r="J973" t="n">
        <v>3.2</v>
      </c>
      <c r="K973" t="n">
        <v>276.3</v>
      </c>
      <c r="L973" t="inlineStr">
        <is>
          <t>Primary</t>
        </is>
      </c>
    </row>
    <row r="974">
      <c r="A974" t="n">
        <v>1</v>
      </c>
      <c r="B974" s="27" t="inlineStr">
        <is>
          <t>S07</t>
        </is>
      </c>
      <c r="C974" t="inlineStr">
        <is>
          <t>PZ-B</t>
        </is>
      </c>
      <c r="D974" t="n">
        <v>22</v>
      </c>
      <c r="E974" t="inlineStr">
        <is>
          <t>H0712</t>
        </is>
      </c>
      <c r="F974" t="inlineStr">
        <is>
          <t>桃園市楊梅區快速路五段266之1號旁工地</t>
        </is>
      </c>
      <c r="G974" t="n">
        <v>24.943391</v>
      </c>
      <c r="H974" t="n">
        <v>121.173948</v>
      </c>
      <c r="I974" t="n">
        <v>8</v>
      </c>
      <c r="J974" t="n">
        <v>3</v>
      </c>
      <c r="K974" t="n">
        <v>287.3</v>
      </c>
      <c r="L974" t="inlineStr">
        <is>
          <t>Primary</t>
        </is>
      </c>
    </row>
    <row r="975">
      <c r="A975" t="n">
        <v>1</v>
      </c>
      <c r="B975" s="27" t="inlineStr">
        <is>
          <t>S07</t>
        </is>
      </c>
      <c r="C975" t="inlineStr">
        <is>
          <t>PZ-B</t>
        </is>
      </c>
      <c r="D975" t="n">
        <v>23</v>
      </c>
      <c r="E975" t="inlineStr">
        <is>
          <t>H0773</t>
        </is>
      </c>
      <c r="F975" t="inlineStr">
        <is>
          <t>桃園市楊梅區電研路10巷約400公尺處橋邊</t>
        </is>
      </c>
      <c r="G975" t="n">
        <v>24.949402</v>
      </c>
      <c r="H975" t="n">
        <v>121.167786</v>
      </c>
      <c r="I975" t="n">
        <v>8</v>
      </c>
      <c r="J975" t="n">
        <v>3</v>
      </c>
      <c r="K975" t="n">
        <v>298.3</v>
      </c>
      <c r="L975" t="inlineStr">
        <is>
          <t>Primary</t>
        </is>
      </c>
    </row>
    <row r="976">
      <c r="A976" t="n">
        <v>1</v>
      </c>
      <c r="B976" s="27" t="inlineStr">
        <is>
          <t>S07</t>
        </is>
      </c>
      <c r="C976" t="inlineStr">
        <is>
          <t>PZ-B</t>
        </is>
      </c>
      <c r="D976" t="n">
        <v>24</v>
      </c>
      <c r="E976" t="inlineStr">
        <is>
          <t>H0772</t>
        </is>
      </c>
      <c r="F976" t="inlineStr">
        <is>
          <t>桃園市楊梅區裕榮路325巷</t>
        </is>
      </c>
      <c r="G976" t="n">
        <v>24.955253</v>
      </c>
      <c r="H976" t="n">
        <v>121.160694</v>
      </c>
      <c r="I976" t="n">
        <v>8</v>
      </c>
      <c r="J976" t="n">
        <v>3</v>
      </c>
      <c r="K976" t="n">
        <v>309.3</v>
      </c>
      <c r="L976" t="inlineStr">
        <is>
          <t>Primary</t>
        </is>
      </c>
    </row>
    <row r="977">
      <c r="A977" t="n">
        <v>1</v>
      </c>
      <c r="B977" s="27" t="inlineStr">
        <is>
          <t>S07</t>
        </is>
      </c>
      <c r="C977" t="inlineStr">
        <is>
          <t>PZ-B</t>
        </is>
      </c>
      <c r="D977" t="n">
        <v>25</v>
      </c>
      <c r="E977" t="inlineStr">
        <is>
          <t>H0658</t>
        </is>
      </c>
      <c r="F977" t="inlineStr">
        <is>
          <t>桃園市新屋區高鐵南路6段45巷23號(31最右慢車道)</t>
        </is>
      </c>
      <c r="G977" t="n">
        <v>24.960436</v>
      </c>
      <c r="H977" t="n">
        <v>121.161006</v>
      </c>
      <c r="I977" t="n">
        <v>8</v>
      </c>
      <c r="J977" t="n">
        <v>3</v>
      </c>
      <c r="K977" t="n">
        <v>320.3</v>
      </c>
      <c r="L977" t="inlineStr">
        <is>
          <t>Primary</t>
        </is>
      </c>
    </row>
    <row r="978">
      <c r="A978" t="n">
        <v>1</v>
      </c>
      <c r="B978" s="27" t="inlineStr">
        <is>
          <t>S07</t>
        </is>
      </c>
      <c r="C978" t="inlineStr">
        <is>
          <t>PZ-B</t>
        </is>
      </c>
      <c r="D978" t="n">
        <v>26</v>
      </c>
      <c r="E978" t="inlineStr">
        <is>
          <t>H0659</t>
        </is>
      </c>
      <c r="F978" t="inlineStr">
        <is>
          <t>桃園市新屋區高鐵南路6段45巷23號-4F</t>
        </is>
      </c>
      <c r="G978" t="n">
        <v>24.960817</v>
      </c>
      <c r="H978" t="n">
        <v>121.161003</v>
      </c>
      <c r="I978" t="n">
        <v>13</v>
      </c>
      <c r="J978" t="n">
        <v>2</v>
      </c>
      <c r="K978" t="n">
        <v>335.3</v>
      </c>
      <c r="L978" t="inlineStr">
        <is>
          <t>Primary</t>
        </is>
      </c>
    </row>
    <row r="979">
      <c r="A979" t="n">
        <v>1</v>
      </c>
      <c r="B979" s="27" t="inlineStr">
        <is>
          <t>S07</t>
        </is>
      </c>
      <c r="C979" t="inlineStr">
        <is>
          <t>PZ-B</t>
        </is>
      </c>
      <c r="D979" t="n">
        <v>27</v>
      </c>
      <c r="E979" t="inlineStr">
        <is>
          <t>H0657</t>
        </is>
      </c>
      <c r="F979" t="inlineStr">
        <is>
          <t>桃園市新屋區高洲二街25號旁</t>
        </is>
      </c>
      <c r="G979" t="n">
        <v>24.961556</v>
      </c>
      <c r="H979" t="n">
        <v>121.160058</v>
      </c>
      <c r="I979" t="n">
        <v>16</v>
      </c>
      <c r="J979" t="n">
        <v>3</v>
      </c>
      <c r="K979" t="n">
        <v>354.3</v>
      </c>
      <c r="L979" t="inlineStr">
        <is>
          <t>Primary</t>
        </is>
      </c>
    </row>
    <row r="980">
      <c r="A980" t="n">
        <v>1</v>
      </c>
      <c r="B980" s="27" t="inlineStr">
        <is>
          <t>S07</t>
        </is>
      </c>
      <c r="C980" t="inlineStr">
        <is>
          <t>PZ-B</t>
        </is>
      </c>
      <c r="D980" t="n">
        <v>28</v>
      </c>
      <c r="E980" t="inlineStr">
        <is>
          <t>H0423</t>
        </is>
      </c>
      <c r="F980" t="inlineStr">
        <is>
          <t>桃園市中壢區高鐵南路五段&amp;松勇路</t>
        </is>
      </c>
      <c r="G980" t="n">
        <v>24.962461</v>
      </c>
      <c r="H980" t="n">
        <v>121.163517</v>
      </c>
      <c r="I980" t="n">
        <v>16</v>
      </c>
      <c r="J980" t="n">
        <v>3</v>
      </c>
      <c r="K980" t="n">
        <v>373.3</v>
      </c>
      <c r="L980" t="inlineStr">
        <is>
          <t>Primary</t>
        </is>
      </c>
    </row>
    <row r="981">
      <c r="A981" t="n">
        <v>1</v>
      </c>
      <c r="B981" s="27" t="inlineStr">
        <is>
          <t>S07</t>
        </is>
      </c>
      <c r="C981" t="inlineStr">
        <is>
          <t>PZ-B</t>
        </is>
      </c>
      <c r="D981" t="n">
        <v>29</v>
      </c>
      <c r="E981" t="inlineStr">
        <is>
          <t>H0397</t>
        </is>
      </c>
      <c r="F981" t="inlineStr">
        <is>
          <t>桃園市中壢區松仁路跟高鐵南路交叉口</t>
        </is>
      </c>
      <c r="G981" t="n">
        <v>24.963461</v>
      </c>
      <c r="H981" t="n">
        <v>121.165531</v>
      </c>
      <c r="I981" t="n">
        <v>8</v>
      </c>
      <c r="J981" t="n">
        <v>3</v>
      </c>
      <c r="K981" t="n">
        <v>384.3</v>
      </c>
      <c r="L981" t="inlineStr">
        <is>
          <t>Primary</t>
        </is>
      </c>
    </row>
    <row r="982">
      <c r="A982" t="n">
        <v>1</v>
      </c>
      <c r="B982" s="27" t="inlineStr">
        <is>
          <t>S07</t>
        </is>
      </c>
      <c r="C982" t="inlineStr">
        <is>
          <t>PZ-B</t>
        </is>
      </c>
      <c r="D982" t="n">
        <v>30</v>
      </c>
      <c r="E982" t="inlineStr">
        <is>
          <t>H0398</t>
        </is>
      </c>
      <c r="F982" t="inlineStr">
        <is>
          <t>桃園市中壢區松信路192號附近-電聯帶定位</t>
        </is>
      </c>
      <c r="G982" t="n">
        <v>24.963056</v>
      </c>
      <c r="H982" t="n">
        <v>121.166083</v>
      </c>
      <c r="I982" t="n">
        <v>8</v>
      </c>
      <c r="J982" t="n">
        <v>2</v>
      </c>
      <c r="K982" t="n">
        <v>394.3</v>
      </c>
      <c r="L982" t="inlineStr">
        <is>
          <t>Primary</t>
        </is>
      </c>
    </row>
    <row r="983">
      <c r="A983" t="n">
        <v>1</v>
      </c>
      <c r="B983" s="27" t="inlineStr">
        <is>
          <t>S07</t>
        </is>
      </c>
      <c r="C983" t="inlineStr">
        <is>
          <t>PZ-B</t>
        </is>
      </c>
      <c r="D983" t="n">
        <v>31</v>
      </c>
      <c r="E983" t="inlineStr">
        <is>
          <t>H0396</t>
        </is>
      </c>
      <c r="F983" t="inlineStr">
        <is>
          <t>桃園市中壢區松仁路229號</t>
        </is>
      </c>
      <c r="G983" t="n">
        <v>24.962489</v>
      </c>
      <c r="H983" t="n">
        <v>121.166614</v>
      </c>
      <c r="I983" t="n">
        <v>48</v>
      </c>
      <c r="J983" t="n">
        <v>2</v>
      </c>
      <c r="K983" t="n">
        <v>444.3</v>
      </c>
      <c r="L983" t="inlineStr">
        <is>
          <t>Primary</t>
        </is>
      </c>
    </row>
    <row r="984">
      <c r="A984" t="n">
        <v>1</v>
      </c>
      <c r="B984" s="27" t="inlineStr">
        <is>
          <t>S07</t>
        </is>
      </c>
      <c r="C984" t="inlineStr">
        <is>
          <t>PZ-B</t>
        </is>
      </c>
      <c r="D984" t="n">
        <v>32</v>
      </c>
      <c r="E984" t="inlineStr">
        <is>
          <t>H0399</t>
        </is>
      </c>
      <c r="F984" t="inlineStr">
        <is>
          <t>桃園市中壢區松信路192號-追加</t>
        </is>
      </c>
      <c r="G984" t="n">
        <v>24.962378</v>
      </c>
      <c r="H984" t="n">
        <v>121.166583</v>
      </c>
      <c r="I984" t="n">
        <v>8</v>
      </c>
      <c r="J984" t="n">
        <v>2</v>
      </c>
      <c r="K984" t="n">
        <v>454.3</v>
      </c>
      <c r="L984" t="inlineStr">
        <is>
          <t>Primary</t>
        </is>
      </c>
    </row>
    <row r="985">
      <c r="A985" t="n">
        <v>1</v>
      </c>
      <c r="B985" s="27" t="inlineStr">
        <is>
          <t>S07</t>
        </is>
      </c>
      <c r="C985" t="inlineStr">
        <is>
          <t>PZ-B</t>
        </is>
      </c>
      <c r="D985" t="n">
        <v>33</v>
      </c>
      <c r="E985" t="inlineStr">
        <is>
          <t>H0400</t>
        </is>
      </c>
      <c r="F985" t="inlineStr">
        <is>
          <t>桃園市中壢區松義三街11號</t>
        </is>
      </c>
      <c r="G985" t="n">
        <v>24.959111</v>
      </c>
      <c r="H985" t="n">
        <v>121.169409</v>
      </c>
      <c r="I985" t="n">
        <v>8</v>
      </c>
      <c r="J985" t="n">
        <v>3</v>
      </c>
      <c r="K985" t="n">
        <v>465.3</v>
      </c>
      <c r="L985" t="inlineStr">
        <is>
          <t>Primary</t>
        </is>
      </c>
    </row>
    <row r="986">
      <c r="A986" t="n">
        <v>1</v>
      </c>
      <c r="B986" s="27" t="inlineStr">
        <is>
          <t>S07</t>
        </is>
      </c>
      <c r="C986" t="inlineStr">
        <is>
          <t>PZ-B</t>
        </is>
      </c>
      <c r="D986" t="n">
        <v>34</v>
      </c>
      <c r="E986" t="inlineStr">
        <is>
          <t>H0372</t>
        </is>
      </c>
      <c r="F986" t="inlineStr">
        <is>
          <t>桃園市中壢區民族路五段168號</t>
        </is>
      </c>
      <c r="G986" t="n">
        <v>24.958706</v>
      </c>
      <c r="H986" t="n">
        <v>121.173523</v>
      </c>
      <c r="I986" t="n">
        <v>24</v>
      </c>
      <c r="J986" t="n">
        <v>3</v>
      </c>
      <c r="K986" t="n">
        <v>492.3</v>
      </c>
      <c r="L986" t="inlineStr">
        <is>
          <t>Primary</t>
        </is>
      </c>
    </row>
    <row r="987">
      <c r="A987" t="n">
        <v>1</v>
      </c>
      <c r="B987" s="27" t="inlineStr">
        <is>
          <t>S07</t>
        </is>
      </c>
      <c r="C987" t="inlineStr">
        <is>
          <t>PZ-B</t>
        </is>
      </c>
      <c r="D987" t="n">
        <v>35</v>
      </c>
      <c r="E987" t="inlineStr">
        <is>
          <t>H0479</t>
        </is>
      </c>
      <c r="F987" t="inlineStr">
        <is>
          <t>桃園市平鎮區(中壢區)中央路257號</t>
        </is>
      </c>
      <c r="G987" t="n">
        <v>24.965975</v>
      </c>
      <c r="H987" t="n">
        <v>121.187408</v>
      </c>
      <c r="I987" t="n">
        <v>8</v>
      </c>
      <c r="J987" t="n">
        <v>3.9</v>
      </c>
      <c r="K987" t="n">
        <v>504.1</v>
      </c>
      <c r="L987" t="inlineStr">
        <is>
          <t>Primary</t>
        </is>
      </c>
    </row>
    <row r="988">
      <c r="A988" t="n">
        <v>1</v>
      </c>
      <c r="B988" s="27" t="inlineStr">
        <is>
          <t>S07</t>
        </is>
      </c>
      <c r="C988" t="inlineStr">
        <is>
          <t>PZ-B</t>
        </is>
      </c>
      <c r="D988" t="n">
        <v>36</v>
      </c>
      <c r="E988" t="inlineStr">
        <is>
          <t>H0481</t>
        </is>
      </c>
      <c r="F988" t="inlineStr">
        <is>
          <t>桃園市平鎮區(中壢區)民族路三段275號旁-補送</t>
        </is>
      </c>
      <c r="G988" t="n">
        <v>24.958342</v>
      </c>
      <c r="H988" t="n">
        <v>121.192669</v>
      </c>
      <c r="I988" t="n">
        <v>8</v>
      </c>
      <c r="J988" t="n">
        <v>3</v>
      </c>
      <c r="K988" t="n">
        <v>515.1</v>
      </c>
      <c r="L988" t="inlineStr">
        <is>
          <t>Primary</t>
        </is>
      </c>
    </row>
    <row r="989">
      <c r="A989" t="n">
        <v>1</v>
      </c>
      <c r="B989" s="27" t="inlineStr">
        <is>
          <t>S07</t>
        </is>
      </c>
      <c r="C989" t="inlineStr">
        <is>
          <t>PZ-B</t>
        </is>
      </c>
      <c r="D989" t="n">
        <v>37</v>
      </c>
      <c r="E989" t="inlineStr">
        <is>
          <t>H0531</t>
        </is>
      </c>
      <c r="F989" t="inlineStr">
        <is>
          <t>桃園市平鎮區新興路179巷29弄17號</t>
        </is>
      </c>
      <c r="G989" t="n">
        <v>24.948541</v>
      </c>
      <c r="H989" t="n">
        <v>121.208528</v>
      </c>
      <c r="I989" t="n">
        <v>8</v>
      </c>
      <c r="J989" t="n">
        <v>4.6</v>
      </c>
      <c r="K989" t="n">
        <v>527.8</v>
      </c>
      <c r="L989" t="inlineStr">
        <is>
          <t>Primary</t>
        </is>
      </c>
    </row>
    <row r="990">
      <c r="A990" t="n">
        <v>2</v>
      </c>
      <c r="B990" s="27" t="inlineStr">
        <is>
          <t>S07</t>
        </is>
      </c>
      <c r="C990" t="inlineStr">
        <is>
          <t>PZ-B</t>
        </is>
      </c>
      <c r="D990" t="n">
        <v>1</v>
      </c>
      <c r="E990" t="inlineStr">
        <is>
          <t>H0491</t>
        </is>
      </c>
      <c r="F990" t="inlineStr">
        <is>
          <t>桃園市平鎮區中豐路南勢二段355巷7弄17號對面</t>
        </is>
      </c>
      <c r="G990" t="n">
        <v>24.910658</v>
      </c>
      <c r="H990" t="n">
        <v>121.211956</v>
      </c>
      <c r="I990" t="n">
        <v>8</v>
      </c>
      <c r="J990" t="n">
        <v>3.7</v>
      </c>
      <c r="K990" t="n">
        <v>11.7</v>
      </c>
      <c r="L990" t="inlineStr">
        <is>
          <t>Primary</t>
        </is>
      </c>
    </row>
    <row r="991">
      <c r="A991" t="n">
        <v>2</v>
      </c>
      <c r="B991" s="27" t="inlineStr">
        <is>
          <t>S07</t>
        </is>
      </c>
      <c r="C991" t="inlineStr">
        <is>
          <t>PZ-B</t>
        </is>
      </c>
      <c r="D991" t="n">
        <v>2</v>
      </c>
      <c r="E991" t="inlineStr">
        <is>
          <t>H0492</t>
        </is>
      </c>
      <c r="F991" t="inlineStr">
        <is>
          <t>桃園市平鎮區天津街151巷口</t>
        </is>
      </c>
      <c r="G991" t="n">
        <v>24.908494</v>
      </c>
      <c r="H991" t="n">
        <v>121.208</v>
      </c>
      <c r="I991" t="n">
        <v>8</v>
      </c>
      <c r="J991" t="n">
        <v>3</v>
      </c>
      <c r="K991" t="n">
        <v>22.7</v>
      </c>
      <c r="L991" t="inlineStr">
        <is>
          <t>Primary</t>
        </is>
      </c>
    </row>
    <row r="992">
      <c r="A992" t="n">
        <v>2</v>
      </c>
      <c r="B992" s="27" t="inlineStr">
        <is>
          <t>S07</t>
        </is>
      </c>
      <c r="C992" t="inlineStr">
        <is>
          <t>PZ-B</t>
        </is>
      </c>
      <c r="D992" t="n">
        <v>3</v>
      </c>
      <c r="E992" t="inlineStr">
        <is>
          <t>H0489</t>
        </is>
      </c>
      <c r="F992" t="inlineStr">
        <is>
          <t>桃園市平鎮區中豐路山頂段2號</t>
        </is>
      </c>
      <c r="G992" t="n">
        <v>24.905933</v>
      </c>
      <c r="H992" t="n">
        <v>121.207714</v>
      </c>
      <c r="I992" t="n">
        <v>16</v>
      </c>
      <c r="J992" t="n">
        <v>3</v>
      </c>
      <c r="K992" t="n">
        <v>41.7</v>
      </c>
      <c r="L992" t="inlineStr">
        <is>
          <t>Primary</t>
        </is>
      </c>
    </row>
    <row r="993">
      <c r="A993" t="n">
        <v>2</v>
      </c>
      <c r="B993" s="27" t="inlineStr">
        <is>
          <t>S07</t>
        </is>
      </c>
      <c r="C993" t="inlineStr">
        <is>
          <t>PZ-B</t>
        </is>
      </c>
      <c r="D993" t="n">
        <v>4</v>
      </c>
      <c r="E993" t="inlineStr">
        <is>
          <t>H0490</t>
        </is>
      </c>
      <c r="F993" t="inlineStr">
        <is>
          <t>桃園市平鎮區中豐路南勢２段460巷136號對面工地</t>
        </is>
      </c>
      <c r="G993" t="n">
        <v>24.907636</v>
      </c>
      <c r="H993" t="n">
        <v>121.205114</v>
      </c>
      <c r="I993" t="n">
        <v>16</v>
      </c>
      <c r="J993" t="n">
        <v>3</v>
      </c>
      <c r="K993" t="n">
        <v>60.7</v>
      </c>
      <c r="L993" t="inlineStr">
        <is>
          <t>Primary</t>
        </is>
      </c>
    </row>
    <row r="994">
      <c r="A994" t="n">
        <v>2</v>
      </c>
      <c r="B994" s="27" t="inlineStr">
        <is>
          <t>S07</t>
        </is>
      </c>
      <c r="C994" t="inlineStr">
        <is>
          <t>PZ-B</t>
        </is>
      </c>
      <c r="D994" t="n">
        <v>5</v>
      </c>
      <c r="E994" t="inlineStr">
        <is>
          <t>H0521</t>
        </is>
      </c>
      <c r="F994" t="inlineStr">
        <is>
          <t>桃園市平鎮區開封街58號旁工地</t>
        </is>
      </c>
      <c r="G994" t="n">
        <v>24.910031</v>
      </c>
      <c r="H994" t="n">
        <v>121.204397</v>
      </c>
      <c r="I994" t="n">
        <v>8</v>
      </c>
      <c r="J994" t="n">
        <v>3</v>
      </c>
      <c r="K994" t="n">
        <v>71.7</v>
      </c>
      <c r="L994" t="inlineStr">
        <is>
          <t>Primary</t>
        </is>
      </c>
    </row>
    <row r="995">
      <c r="A995" t="n">
        <v>2</v>
      </c>
      <c r="B995" s="27" t="inlineStr">
        <is>
          <t>S07</t>
        </is>
      </c>
      <c r="C995" t="inlineStr">
        <is>
          <t>PZ-B</t>
        </is>
      </c>
      <c r="D995" t="n">
        <v>6</v>
      </c>
      <c r="E995" t="inlineStr">
        <is>
          <t>H0522</t>
        </is>
      </c>
      <c r="F995" t="inlineStr">
        <is>
          <t>桃園市平鎮區開封街68號工地</t>
        </is>
      </c>
      <c r="G995" t="n">
        <v>24.91055</v>
      </c>
      <c r="H995" t="n">
        <v>121.204147</v>
      </c>
      <c r="I995" t="n">
        <v>8</v>
      </c>
      <c r="J995" t="n">
        <v>2</v>
      </c>
      <c r="K995" t="n">
        <v>81.7</v>
      </c>
      <c r="L995" t="inlineStr">
        <is>
          <t>Primary</t>
        </is>
      </c>
    </row>
    <row r="996">
      <c r="A996" t="n">
        <v>2</v>
      </c>
      <c r="B996" s="27" t="inlineStr">
        <is>
          <t>S07</t>
        </is>
      </c>
      <c r="C996" t="inlineStr">
        <is>
          <t>PZ-B</t>
        </is>
      </c>
      <c r="D996" t="n">
        <v>7</v>
      </c>
      <c r="E996" t="inlineStr">
        <is>
          <t>H0485</t>
        </is>
      </c>
      <c r="F996" t="inlineStr">
        <is>
          <t>桃園市平鎮區工業一路8號</t>
        </is>
      </c>
      <c r="G996" t="n">
        <v>24.902872</v>
      </c>
      <c r="H996" t="n">
        <v>121.205464</v>
      </c>
      <c r="I996" t="n">
        <v>8</v>
      </c>
      <c r="J996" t="n">
        <v>3</v>
      </c>
      <c r="K996" t="n">
        <v>92.7</v>
      </c>
      <c r="L996" t="inlineStr">
        <is>
          <t>Primary</t>
        </is>
      </c>
    </row>
    <row r="997">
      <c r="A997" t="n">
        <v>2</v>
      </c>
      <c r="B997" s="27" t="inlineStr">
        <is>
          <t>S07</t>
        </is>
      </c>
      <c r="C997" t="inlineStr">
        <is>
          <t>PZ-B</t>
        </is>
      </c>
      <c r="D997" t="n">
        <v>8</v>
      </c>
      <c r="E997" t="inlineStr">
        <is>
          <t>H0513</t>
        </is>
      </c>
      <c r="F997" t="inlineStr">
        <is>
          <t>桃園市平鎮區南豐路261號-追加</t>
        </is>
      </c>
      <c r="G997" t="n">
        <v>24.899827</v>
      </c>
      <c r="H997" t="n">
        <v>121.204214</v>
      </c>
      <c r="I997" t="n">
        <v>8</v>
      </c>
      <c r="J997" t="n">
        <v>3</v>
      </c>
      <c r="K997" t="n">
        <v>103.7</v>
      </c>
      <c r="L997" t="inlineStr">
        <is>
          <t>Primary</t>
        </is>
      </c>
    </row>
    <row r="998">
      <c r="A998" t="n">
        <v>2</v>
      </c>
      <c r="B998" s="27" t="inlineStr">
        <is>
          <t>S07</t>
        </is>
      </c>
      <c r="C998" t="inlineStr">
        <is>
          <t>PZ-B</t>
        </is>
      </c>
      <c r="D998" t="n">
        <v>9</v>
      </c>
      <c r="E998" t="inlineStr">
        <is>
          <t>H0512</t>
        </is>
      </c>
      <c r="F998" t="inlineStr">
        <is>
          <t>桃園市平鎮區南豐路261號</t>
        </is>
      </c>
      <c r="G998" t="n">
        <v>24.8996</v>
      </c>
      <c r="H998" t="n">
        <v>121.204469</v>
      </c>
      <c r="I998" t="n">
        <v>8</v>
      </c>
      <c r="J998" t="n">
        <v>2</v>
      </c>
      <c r="K998" t="n">
        <v>113.7</v>
      </c>
      <c r="L998" t="inlineStr">
        <is>
          <t>Primary</t>
        </is>
      </c>
    </row>
    <row r="999">
      <c r="A999" t="n">
        <v>2</v>
      </c>
      <c r="B999" s="27" t="inlineStr">
        <is>
          <t>S07</t>
        </is>
      </c>
      <c r="C999" t="inlineStr">
        <is>
          <t>PZ-B</t>
        </is>
      </c>
      <c r="D999" t="n">
        <v>10</v>
      </c>
      <c r="E999" t="inlineStr">
        <is>
          <t>H0486</t>
        </is>
      </c>
      <c r="F999" t="inlineStr">
        <is>
          <t>桃園市平鎮區工業三路6號</t>
        </is>
      </c>
      <c r="G999" t="n">
        <v>24.9018665</v>
      </c>
      <c r="H999" t="n">
        <v>121.2000835</v>
      </c>
      <c r="I999" t="n">
        <v>16</v>
      </c>
      <c r="J999" t="n">
        <v>3</v>
      </c>
      <c r="K999" t="n">
        <v>132.7</v>
      </c>
      <c r="L999" t="inlineStr">
        <is>
          <t>Primary</t>
        </is>
      </c>
    </row>
    <row r="1000">
      <c r="A1000" t="n">
        <v>2</v>
      </c>
      <c r="B1000" s="27" t="inlineStr">
        <is>
          <t>S07</t>
        </is>
      </c>
      <c r="C1000" t="inlineStr">
        <is>
          <t>PZ-B</t>
        </is>
      </c>
      <c r="D1000" t="n">
        <v>11</v>
      </c>
      <c r="E1000" t="inlineStr">
        <is>
          <t>H0514</t>
        </is>
      </c>
      <c r="F1000" t="inlineStr">
        <is>
          <t>桃園市平鎮區南豐路550號</t>
        </is>
      </c>
      <c r="G1000" t="n">
        <v>24.898355</v>
      </c>
      <c r="H1000" t="n">
        <v>121.195244</v>
      </c>
      <c r="I1000" t="n">
        <v>8</v>
      </c>
      <c r="J1000" t="n">
        <v>3</v>
      </c>
      <c r="K1000" t="n">
        <v>143.7</v>
      </c>
      <c r="L1000" t="inlineStr">
        <is>
          <t>Primary</t>
        </is>
      </c>
    </row>
    <row r="1001">
      <c r="A1001" t="n">
        <v>2</v>
      </c>
      <c r="B1001" s="27" t="inlineStr">
        <is>
          <t>S07</t>
        </is>
      </c>
      <c r="C1001" t="inlineStr">
        <is>
          <t>PZ-B</t>
        </is>
      </c>
      <c r="D1001" t="n">
        <v>12</v>
      </c>
      <c r="E1001" t="inlineStr">
        <is>
          <t>H0487</t>
        </is>
      </c>
      <c r="F1001" t="inlineStr">
        <is>
          <t>桃園市平鎮區中興路平鎮段475號</t>
        </is>
      </c>
      <c r="G1001" t="n">
        <v>24.899225</v>
      </c>
      <c r="H1001" t="n">
        <v>121.193689</v>
      </c>
      <c r="I1001" t="n">
        <v>8</v>
      </c>
      <c r="J1001" t="n">
        <v>3</v>
      </c>
      <c r="K1001" t="n">
        <v>154.7</v>
      </c>
      <c r="L1001" t="inlineStr">
        <is>
          <t>Primary</t>
        </is>
      </c>
    </row>
    <row r="1002">
      <c r="A1002" t="n">
        <v>2</v>
      </c>
      <c r="B1002" s="27" t="inlineStr">
        <is>
          <t>S07</t>
        </is>
      </c>
      <c r="C1002" t="inlineStr">
        <is>
          <t>PZ-B</t>
        </is>
      </c>
      <c r="D1002" t="n">
        <v>13</v>
      </c>
      <c r="E1002" t="inlineStr">
        <is>
          <t>H0541</t>
        </is>
      </c>
      <c r="F1002" t="inlineStr">
        <is>
          <t>桃園市平鎮區興隆路118號</t>
        </is>
      </c>
      <c r="G1002" t="n">
        <v>24.902831</v>
      </c>
      <c r="H1002" t="n">
        <v>121.190425</v>
      </c>
      <c r="I1002" t="n">
        <v>8</v>
      </c>
      <c r="J1002" t="n">
        <v>3</v>
      </c>
      <c r="K1002" t="n">
        <v>165.7</v>
      </c>
      <c r="L1002" t="inlineStr">
        <is>
          <t>Primary</t>
        </is>
      </c>
    </row>
    <row r="1003">
      <c r="A1003" t="n">
        <v>2</v>
      </c>
      <c r="B1003" s="27" t="inlineStr">
        <is>
          <t>S07</t>
        </is>
      </c>
      <c r="C1003" t="inlineStr">
        <is>
          <t>PZ-B</t>
        </is>
      </c>
      <c r="D1003" t="n">
        <v>14</v>
      </c>
      <c r="E1003" t="inlineStr">
        <is>
          <t>H0778</t>
        </is>
      </c>
      <c r="F1003" t="inlineStr">
        <is>
          <t>桃園市楊梅區蘋果路11號(金鍏電子廠內)</t>
        </is>
      </c>
      <c r="G1003" t="n">
        <v>24.904122</v>
      </c>
      <c r="H1003" t="n">
        <v>121.186855</v>
      </c>
      <c r="I1003" t="n">
        <v>8</v>
      </c>
      <c r="J1003" t="n">
        <v>3</v>
      </c>
      <c r="K1003" t="n">
        <v>176.7</v>
      </c>
      <c r="L1003" t="inlineStr">
        <is>
          <t>Primary</t>
        </is>
      </c>
    </row>
    <row r="1004">
      <c r="A1004" t="n">
        <v>2</v>
      </c>
      <c r="B1004" s="27" t="inlineStr">
        <is>
          <t>S07</t>
        </is>
      </c>
      <c r="C1004" t="inlineStr">
        <is>
          <t>PZ-B</t>
        </is>
      </c>
      <c r="D1004" t="n">
        <v>15</v>
      </c>
      <c r="E1004" t="inlineStr">
        <is>
          <t>H0781</t>
        </is>
      </c>
      <c r="F1004" t="inlineStr">
        <is>
          <t>桃園市楊梅區蘋果路9號旁-追加</t>
        </is>
      </c>
      <c r="G1004" t="n">
        <v>24.9038225</v>
      </c>
      <c r="H1004" t="n">
        <v>121.1855175</v>
      </c>
      <c r="I1004" t="n">
        <v>16</v>
      </c>
      <c r="J1004" t="n">
        <v>3</v>
      </c>
      <c r="K1004" t="n">
        <v>195.7</v>
      </c>
      <c r="L1004" t="inlineStr">
        <is>
          <t>Primary</t>
        </is>
      </c>
    </row>
    <row r="1005">
      <c r="A1005" t="n">
        <v>2</v>
      </c>
      <c r="B1005" s="27" t="inlineStr">
        <is>
          <t>S07</t>
        </is>
      </c>
      <c r="C1005" t="inlineStr">
        <is>
          <t>PZ-B</t>
        </is>
      </c>
      <c r="D1005" t="n">
        <v>16</v>
      </c>
      <c r="E1005" t="inlineStr">
        <is>
          <t>H0780</t>
        </is>
      </c>
      <c r="F1005" t="inlineStr">
        <is>
          <t>桃園市楊梅區蘋果路9號旁</t>
        </is>
      </c>
      <c r="G1005" t="n">
        <v>24.9030375</v>
      </c>
      <c r="H1005" t="n">
        <v>121.18553</v>
      </c>
      <c r="I1005" t="n">
        <v>16</v>
      </c>
      <c r="J1005" t="n">
        <v>2</v>
      </c>
      <c r="K1005" t="n">
        <v>213.7</v>
      </c>
      <c r="L1005" t="inlineStr">
        <is>
          <t>Primary</t>
        </is>
      </c>
    </row>
    <row r="1006">
      <c r="A1006" t="n">
        <v>2</v>
      </c>
      <c r="B1006" s="27" t="inlineStr">
        <is>
          <t>S07</t>
        </is>
      </c>
      <c r="C1006" t="inlineStr">
        <is>
          <t>PZ-B</t>
        </is>
      </c>
      <c r="D1006" t="n">
        <v>17</v>
      </c>
      <c r="E1006" t="inlineStr">
        <is>
          <t>H0779</t>
        </is>
      </c>
      <c r="F1006" t="inlineStr">
        <is>
          <t>桃園市楊梅區蘋果路5號</t>
        </is>
      </c>
      <c r="G1006" t="n">
        <v>24.902542</v>
      </c>
      <c r="H1006" t="n">
        <v>121.184202</v>
      </c>
      <c r="I1006" t="n">
        <v>8</v>
      </c>
      <c r="J1006" t="n">
        <v>3</v>
      </c>
      <c r="K1006" t="n">
        <v>224.7</v>
      </c>
      <c r="L1006" t="inlineStr">
        <is>
          <t>Primary</t>
        </is>
      </c>
    </row>
    <row r="1007">
      <c r="A1007" t="n">
        <v>2</v>
      </c>
      <c r="B1007" s="27" t="inlineStr">
        <is>
          <t>S07</t>
        </is>
      </c>
      <c r="C1007" t="inlineStr">
        <is>
          <t>PZ-B</t>
        </is>
      </c>
      <c r="D1007" t="n">
        <v>18</v>
      </c>
      <c r="E1007" t="inlineStr">
        <is>
          <t>H0680</t>
        </is>
      </c>
      <c r="F1007" t="inlineStr">
        <is>
          <t>桃園市楊梅區三民東路344號旁工地</t>
        </is>
      </c>
      <c r="G1007" t="n">
        <v>24.901906</v>
      </c>
      <c r="H1007" t="n">
        <v>121.176631</v>
      </c>
      <c r="I1007" t="n">
        <v>8</v>
      </c>
      <c r="J1007" t="n">
        <v>3</v>
      </c>
      <c r="K1007" t="n">
        <v>235.7</v>
      </c>
      <c r="L1007" t="inlineStr">
        <is>
          <t>Primary</t>
        </is>
      </c>
    </row>
    <row r="1008">
      <c r="A1008" t="n">
        <v>2</v>
      </c>
      <c r="B1008" s="27" t="inlineStr">
        <is>
          <t>S07</t>
        </is>
      </c>
      <c r="C1008" t="inlineStr">
        <is>
          <t>PZ-B</t>
        </is>
      </c>
      <c r="D1008" t="n">
        <v>19</v>
      </c>
      <c r="E1008" t="inlineStr">
        <is>
          <t>H0717</t>
        </is>
      </c>
      <c r="F1008" t="inlineStr">
        <is>
          <t>桃園市楊梅區金溪路209巷前100公尺</t>
        </is>
      </c>
      <c r="G1008" t="n">
        <v>24.900953</v>
      </c>
      <c r="H1008" t="n">
        <v>121.173153</v>
      </c>
      <c r="I1008" t="n">
        <v>24</v>
      </c>
      <c r="J1008" t="n">
        <v>3</v>
      </c>
      <c r="K1008" t="n">
        <v>262.7</v>
      </c>
      <c r="L1008" t="inlineStr">
        <is>
          <t>Primary</t>
        </is>
      </c>
    </row>
    <row r="1009">
      <c r="A1009" t="n">
        <v>2</v>
      </c>
      <c r="B1009" s="27" t="inlineStr">
        <is>
          <t>S07</t>
        </is>
      </c>
      <c r="C1009" t="inlineStr">
        <is>
          <t>PZ-B</t>
        </is>
      </c>
      <c r="D1009" t="n">
        <v>20</v>
      </c>
      <c r="E1009" t="inlineStr">
        <is>
          <t>H0681</t>
        </is>
      </c>
      <c r="F1009" t="inlineStr">
        <is>
          <t>桃園市楊梅區三民路一直走 看到陽光山林 警衛室大門前100公尺</t>
        </is>
      </c>
      <c r="G1009" t="n">
        <v>24.896652</v>
      </c>
      <c r="H1009" t="n">
        <v>121.170464</v>
      </c>
      <c r="I1009" t="n">
        <v>16</v>
      </c>
      <c r="J1009" t="n">
        <v>3</v>
      </c>
      <c r="K1009" t="n">
        <v>281.7</v>
      </c>
      <c r="L1009" t="inlineStr">
        <is>
          <t>Primary</t>
        </is>
      </c>
    </row>
    <row r="1010">
      <c r="A1010" t="n">
        <v>2</v>
      </c>
      <c r="B1010" s="27" t="inlineStr">
        <is>
          <t>S07</t>
        </is>
      </c>
      <c r="C1010" t="inlineStr">
        <is>
          <t>PZ-B</t>
        </is>
      </c>
      <c r="D1010" t="n">
        <v>21</v>
      </c>
      <c r="E1010" t="inlineStr">
        <is>
          <t>H0682</t>
        </is>
      </c>
      <c r="F1010" t="inlineStr">
        <is>
          <t>桃園市楊梅區三民路一直走 會看到陽光四季</t>
        </is>
      </c>
      <c r="G1010" t="n">
        <v>24.896652</v>
      </c>
      <c r="H1010" t="n">
        <v>121.170278</v>
      </c>
      <c r="I1010" t="n">
        <v>8</v>
      </c>
      <c r="J1010" t="n">
        <v>2</v>
      </c>
      <c r="K1010" t="n">
        <v>291.7</v>
      </c>
      <c r="L1010" t="inlineStr">
        <is>
          <t>Primary</t>
        </is>
      </c>
    </row>
    <row r="1011">
      <c r="A1011" t="n">
        <v>2</v>
      </c>
      <c r="B1011" s="27" t="inlineStr">
        <is>
          <t>S07</t>
        </is>
      </c>
      <c r="C1011" t="inlineStr">
        <is>
          <t>PZ-B</t>
        </is>
      </c>
      <c r="D1011" t="n">
        <v>22</v>
      </c>
      <c r="E1011" t="inlineStr">
        <is>
          <t>H0716</t>
        </is>
      </c>
      <c r="F1011" t="inlineStr">
        <is>
          <t>桃園市楊梅區迎旭三街39號(陽光山林)</t>
        </is>
      </c>
      <c r="G1011" t="n">
        <v>24.893025</v>
      </c>
      <c r="H1011" t="n">
        <v>121.168261</v>
      </c>
      <c r="I1011" t="n">
        <v>8</v>
      </c>
      <c r="J1011" t="n">
        <v>3</v>
      </c>
      <c r="K1011" t="n">
        <v>302.7</v>
      </c>
      <c r="L1011" t="inlineStr">
        <is>
          <t>Primary</t>
        </is>
      </c>
    </row>
    <row r="1012">
      <c r="A1012" t="n">
        <v>2</v>
      </c>
      <c r="B1012" s="27" t="inlineStr">
        <is>
          <t>S07</t>
        </is>
      </c>
      <c r="C1012" t="inlineStr">
        <is>
          <t>PZ-B</t>
        </is>
      </c>
      <c r="D1012" t="n">
        <v>23</v>
      </c>
      <c r="E1012" t="inlineStr">
        <is>
          <t>H0771</t>
        </is>
      </c>
      <c r="F1012" t="inlineStr">
        <is>
          <t>桃園市楊梅區裕成路3巷-土地公廟旁-電聯定位(愛買山上小路)</t>
        </is>
      </c>
      <c r="G1012" t="n">
        <v>24.890686</v>
      </c>
      <c r="H1012" t="n">
        <v>121.168706</v>
      </c>
      <c r="I1012" t="n">
        <v>8</v>
      </c>
      <c r="J1012" t="n">
        <v>3</v>
      </c>
      <c r="K1012" t="n">
        <v>313.7</v>
      </c>
      <c r="L1012" t="inlineStr">
        <is>
          <t>Primary</t>
        </is>
      </c>
    </row>
    <row r="1013">
      <c r="A1013" t="n">
        <v>2</v>
      </c>
      <c r="B1013" s="27" t="inlineStr">
        <is>
          <t>S07</t>
        </is>
      </c>
      <c r="C1013" t="inlineStr">
        <is>
          <t>PZ-B</t>
        </is>
      </c>
      <c r="D1013" t="n">
        <v>24</v>
      </c>
      <c r="E1013" t="inlineStr">
        <is>
          <t>H0774</t>
        </is>
      </c>
      <c r="F1013" t="inlineStr">
        <is>
          <t>桃園市楊梅區福人路75巷11號</t>
        </is>
      </c>
      <c r="G1013" t="n">
        <v>24.893389</v>
      </c>
      <c r="H1013" t="n">
        <v>121.152453</v>
      </c>
      <c r="I1013" t="n">
        <v>8</v>
      </c>
      <c r="J1013" t="n">
        <v>4</v>
      </c>
      <c r="K1013" t="n">
        <v>325.7</v>
      </c>
      <c r="L1013" t="inlineStr">
        <is>
          <t>Primary</t>
        </is>
      </c>
    </row>
    <row r="1014">
      <c r="A1014" t="n">
        <v>2</v>
      </c>
      <c r="B1014" s="27" t="inlineStr">
        <is>
          <t>S07</t>
        </is>
      </c>
      <c r="C1014" t="inlineStr">
        <is>
          <t>PZ-B</t>
        </is>
      </c>
      <c r="D1014" t="n">
        <v>25</v>
      </c>
      <c r="E1014" t="inlineStr">
        <is>
          <t>H0724</t>
        </is>
      </c>
      <c r="F1014" t="inlineStr">
        <is>
          <t>桃園市楊梅區校前路324巷41號</t>
        </is>
      </c>
      <c r="G1014" t="n">
        <v>24.8982735</v>
      </c>
      <c r="H1014" t="n">
        <v>121.149516</v>
      </c>
      <c r="I1014" t="n">
        <v>16</v>
      </c>
      <c r="J1014" t="n">
        <v>3</v>
      </c>
      <c r="K1014" t="n">
        <v>344.7</v>
      </c>
      <c r="L1014" t="inlineStr">
        <is>
          <t>Primary</t>
        </is>
      </c>
    </row>
    <row r="1015">
      <c r="A1015" t="n">
        <v>2</v>
      </c>
      <c r="B1015" s="27" t="inlineStr">
        <is>
          <t>S07</t>
        </is>
      </c>
      <c r="C1015" t="inlineStr">
        <is>
          <t>PZ-B</t>
        </is>
      </c>
      <c r="D1015" t="n">
        <v>26</v>
      </c>
      <c r="E1015" t="inlineStr">
        <is>
          <t>H0725</t>
        </is>
      </c>
      <c r="F1015" t="inlineStr">
        <is>
          <t>桃園市楊梅區校前路324巷5號</t>
        </is>
      </c>
      <c r="G1015" t="n">
        <v>24.89895</v>
      </c>
      <c r="H1015" t="n">
        <v>121.150761</v>
      </c>
      <c r="I1015" t="n">
        <v>8</v>
      </c>
      <c r="J1015" t="n">
        <v>3</v>
      </c>
      <c r="K1015" t="n">
        <v>355.7</v>
      </c>
      <c r="L1015" t="inlineStr">
        <is>
          <t>Primary</t>
        </is>
      </c>
    </row>
    <row r="1016">
      <c r="A1016" t="n">
        <v>2</v>
      </c>
      <c r="B1016" s="27" t="inlineStr">
        <is>
          <t>S07</t>
        </is>
      </c>
      <c r="C1016" t="inlineStr">
        <is>
          <t>PZ-B</t>
        </is>
      </c>
      <c r="D1016" t="n">
        <v>27</v>
      </c>
      <c r="E1016" t="inlineStr">
        <is>
          <t>H0723</t>
        </is>
      </c>
      <c r="F1016" t="inlineStr">
        <is>
          <t>桃園市楊梅區校前路298巷口(全家旁)</t>
        </is>
      </c>
      <c r="G1016" t="n">
        <v>24.899614</v>
      </c>
      <c r="H1016" t="n">
        <v>121.149764</v>
      </c>
      <c r="I1016" t="n">
        <v>16</v>
      </c>
      <c r="J1016" t="n">
        <v>3</v>
      </c>
      <c r="K1016" t="n">
        <v>374.7</v>
      </c>
      <c r="L1016" t="inlineStr">
        <is>
          <t>Primary</t>
        </is>
      </c>
    </row>
    <row r="1017">
      <c r="A1017" t="n">
        <v>2</v>
      </c>
      <c r="B1017" s="27" t="inlineStr">
        <is>
          <t>S07</t>
        </is>
      </c>
      <c r="C1017" t="inlineStr">
        <is>
          <t>PZ-B</t>
        </is>
      </c>
      <c r="D1017" t="n">
        <v>28</v>
      </c>
      <c r="E1017" t="inlineStr">
        <is>
          <t>H0708</t>
        </is>
      </c>
      <c r="F1017" t="inlineStr">
        <is>
          <t>桃園市楊梅區行善路80號-華映1廠</t>
        </is>
      </c>
      <c r="G1017" t="n">
        <v>24.903422</v>
      </c>
      <c r="H1017" t="n">
        <v>121.153778</v>
      </c>
      <c r="I1017" t="n">
        <v>16</v>
      </c>
      <c r="J1017" t="n">
        <v>3</v>
      </c>
      <c r="K1017" t="n">
        <v>393.7</v>
      </c>
      <c r="L1017" t="inlineStr">
        <is>
          <t>Primary</t>
        </is>
      </c>
    </row>
    <row r="1018">
      <c r="A1018" t="n">
        <v>2</v>
      </c>
      <c r="B1018" s="27" t="inlineStr">
        <is>
          <t>S07</t>
        </is>
      </c>
      <c r="C1018" t="inlineStr">
        <is>
          <t>PZ-B</t>
        </is>
      </c>
      <c r="D1018" t="n">
        <v>29</v>
      </c>
      <c r="E1018" t="inlineStr">
        <is>
          <t>H0710</t>
        </is>
      </c>
      <c r="F1018" t="inlineStr">
        <is>
          <t>桃園市楊梅區行善路80號-華映楊梅廠</t>
        </is>
      </c>
      <c r="G1018" t="n">
        <v>24.903978</v>
      </c>
      <c r="H1018" t="n">
        <v>121.153475</v>
      </c>
      <c r="I1018" t="n">
        <v>16</v>
      </c>
      <c r="J1018" t="n">
        <v>2</v>
      </c>
      <c r="K1018" t="n">
        <v>411.7</v>
      </c>
      <c r="L1018" t="inlineStr">
        <is>
          <t>Primary</t>
        </is>
      </c>
    </row>
    <row r="1019">
      <c r="A1019" t="n">
        <v>2</v>
      </c>
      <c r="B1019" s="27" t="inlineStr">
        <is>
          <t>S07</t>
        </is>
      </c>
      <c r="C1019" t="inlineStr">
        <is>
          <t>PZ-B</t>
        </is>
      </c>
      <c r="D1019" t="n">
        <v>30</v>
      </c>
      <c r="E1019" t="inlineStr">
        <is>
          <t>H0711</t>
        </is>
      </c>
      <c r="F1019" t="inlineStr">
        <is>
          <t>桃園市楊梅區行善路80號-華映楊梅廠-出入口從環東路過去</t>
        </is>
      </c>
      <c r="G1019" t="n">
        <v>24.904464</v>
      </c>
      <c r="H1019" t="n">
        <v>121.152944</v>
      </c>
      <c r="I1019" t="n">
        <v>24</v>
      </c>
      <c r="J1019" t="n">
        <v>2</v>
      </c>
      <c r="K1019" t="n">
        <v>437.7</v>
      </c>
      <c r="L1019" t="inlineStr">
        <is>
          <t>Primary</t>
        </is>
      </c>
    </row>
    <row r="1020">
      <c r="A1020" t="n">
        <v>2</v>
      </c>
      <c r="B1020" s="27" t="inlineStr">
        <is>
          <t>S07</t>
        </is>
      </c>
      <c r="C1020" t="inlineStr">
        <is>
          <t>PZ-B</t>
        </is>
      </c>
      <c r="D1020" t="n">
        <v>31</v>
      </c>
      <c r="E1020" t="inlineStr">
        <is>
          <t>H0709</t>
        </is>
      </c>
      <c r="F1020" t="inlineStr">
        <is>
          <t>桃園市楊梅區行善路80號-華映2廠</t>
        </is>
      </c>
      <c r="G1020" t="n">
        <v>24.904581</v>
      </c>
      <c r="H1020" t="n">
        <v>121.152867</v>
      </c>
      <c r="I1020" t="n">
        <v>16</v>
      </c>
      <c r="J1020" t="n">
        <v>2</v>
      </c>
      <c r="K1020" t="n">
        <v>455.7</v>
      </c>
      <c r="L1020" t="inlineStr">
        <is>
          <t>Primary</t>
        </is>
      </c>
    </row>
    <row r="1021">
      <c r="A1021" t="n">
        <v>2</v>
      </c>
      <c r="B1021" s="27" t="inlineStr">
        <is>
          <t>S07</t>
        </is>
      </c>
      <c r="C1021" t="inlineStr">
        <is>
          <t>PZ-B</t>
        </is>
      </c>
      <c r="D1021" t="n">
        <v>32</v>
      </c>
      <c r="E1021" t="inlineStr">
        <is>
          <t>H0775</t>
        </is>
      </c>
      <c r="F1021" t="inlineStr">
        <is>
          <t>桃園市楊梅區環東路170號附近</t>
        </is>
      </c>
      <c r="G1021" t="n">
        <v>24.9045</v>
      </c>
      <c r="H1021" t="n">
        <v>121.155114</v>
      </c>
      <c r="I1021" t="n">
        <v>8</v>
      </c>
      <c r="J1021" t="n">
        <v>3</v>
      </c>
      <c r="K1021" t="n">
        <v>466.7</v>
      </c>
      <c r="L1021" t="inlineStr">
        <is>
          <t>Primary</t>
        </is>
      </c>
    </row>
    <row r="1022">
      <c r="A1022" t="n">
        <v>2</v>
      </c>
      <c r="B1022" s="27" t="inlineStr">
        <is>
          <t>S07</t>
        </is>
      </c>
      <c r="C1022" t="inlineStr">
        <is>
          <t>PZ-B</t>
        </is>
      </c>
      <c r="D1022" t="n">
        <v>33</v>
      </c>
      <c r="E1022" t="inlineStr">
        <is>
          <t>H0706</t>
        </is>
      </c>
      <c r="F1022" t="inlineStr">
        <is>
          <t>桃園市楊梅區自立街326號(賜福宮土地公旁)</t>
        </is>
      </c>
      <c r="G1022" t="n">
        <v>24.909192</v>
      </c>
      <c r="H1022" t="n">
        <v>121.153169</v>
      </c>
      <c r="I1022" t="n">
        <v>16</v>
      </c>
      <c r="J1022" t="n">
        <v>3</v>
      </c>
      <c r="K1022" t="n">
        <v>485.7</v>
      </c>
      <c r="L1022" t="inlineStr">
        <is>
          <t>Primary</t>
        </is>
      </c>
    </row>
    <row r="1023">
      <c r="A1023" t="n">
        <v>2</v>
      </c>
      <c r="B1023" s="27" t="inlineStr">
        <is>
          <t>S07</t>
        </is>
      </c>
      <c r="C1023" t="inlineStr">
        <is>
          <t>PZ-B</t>
        </is>
      </c>
      <c r="D1023" t="n">
        <v>34</v>
      </c>
      <c r="E1023" t="inlineStr">
        <is>
          <t>H0707</t>
        </is>
      </c>
      <c r="F1023" t="inlineStr">
        <is>
          <t>桃園市楊梅區自立街326號-臺灣玩具圖書館</t>
        </is>
      </c>
      <c r="G1023" t="n">
        <v>24.909103</v>
      </c>
      <c r="H1023" t="n">
        <v>121.152906</v>
      </c>
      <c r="I1023" t="n">
        <v>8</v>
      </c>
      <c r="J1023" t="n">
        <v>2</v>
      </c>
      <c r="K1023" t="n">
        <v>495.7</v>
      </c>
      <c r="L1023" t="inlineStr">
        <is>
          <t>Primary</t>
        </is>
      </c>
    </row>
    <row r="1024">
      <c r="A1024" t="n">
        <v>2</v>
      </c>
      <c r="B1024" s="27" t="inlineStr">
        <is>
          <t>S07</t>
        </is>
      </c>
      <c r="C1024" t="inlineStr">
        <is>
          <t>PZ-B</t>
        </is>
      </c>
      <c r="D1024" t="n">
        <v>35</v>
      </c>
      <c r="E1024" t="inlineStr">
        <is>
          <t>H0754</t>
        </is>
      </c>
      <c r="F1024" t="inlineStr">
        <is>
          <t>桃園市楊梅區新農街85號對面工地</t>
        </is>
      </c>
      <c r="G1024" t="n">
        <v>24.909633</v>
      </c>
      <c r="H1024" t="n">
        <v>121.149158</v>
      </c>
      <c r="I1024" t="n">
        <v>16</v>
      </c>
      <c r="J1024" t="n">
        <v>3</v>
      </c>
      <c r="K1024" t="n">
        <v>514.7</v>
      </c>
      <c r="L1024" t="inlineStr">
        <is>
          <t>Primary</t>
        </is>
      </c>
    </row>
    <row r="1025">
      <c r="A1025" t="n">
        <v>3</v>
      </c>
      <c r="B1025" s="27" t="inlineStr">
        <is>
          <t>S07</t>
        </is>
      </c>
      <c r="C1025" t="inlineStr">
        <is>
          <t>PZ-B</t>
        </is>
      </c>
      <c r="D1025" t="n">
        <v>1</v>
      </c>
      <c r="E1025" t="inlineStr">
        <is>
          <t>H0793</t>
        </is>
      </c>
      <c r="F1025" t="inlineStr">
        <is>
          <t>桃園市龍潭區中豐路504巷9號旁</t>
        </is>
      </c>
      <c r="G1025" t="n">
        <v>24.883267</v>
      </c>
      <c r="H1025" t="n">
        <v>121.212811</v>
      </c>
      <c r="I1025" t="n">
        <v>8</v>
      </c>
      <c r="J1025" t="n">
        <v>7.1</v>
      </c>
      <c r="K1025" t="n">
        <v>15.1</v>
      </c>
      <c r="L1025" t="inlineStr">
        <is>
          <t>Primary</t>
        </is>
      </c>
    </row>
    <row r="1026">
      <c r="A1026" t="n">
        <v>3</v>
      </c>
      <c r="B1026" s="27" t="inlineStr">
        <is>
          <t>S07</t>
        </is>
      </c>
      <c r="C1026" t="inlineStr">
        <is>
          <t>PZ-B</t>
        </is>
      </c>
      <c r="D1026" t="n">
        <v>2</v>
      </c>
      <c r="E1026" t="inlineStr">
        <is>
          <t>H0823</t>
        </is>
      </c>
      <c r="F1026" t="inlineStr">
        <is>
          <t>桃園市龍潭區聖亭路八德段10號</t>
        </is>
      </c>
      <c r="G1026" t="n">
        <v>24.873153</v>
      </c>
      <c r="H1026" t="n">
        <v>121.202514</v>
      </c>
      <c r="I1026" t="n">
        <v>8</v>
      </c>
      <c r="J1026" t="n">
        <v>3.7</v>
      </c>
      <c r="K1026" t="n">
        <v>26.8</v>
      </c>
      <c r="L1026" t="inlineStr">
        <is>
          <t>Primary</t>
        </is>
      </c>
    </row>
    <row r="1027">
      <c r="A1027" t="n">
        <v>3</v>
      </c>
      <c r="B1027" s="27" t="inlineStr">
        <is>
          <t>S07</t>
        </is>
      </c>
      <c r="C1027" t="inlineStr">
        <is>
          <t>PZ-B</t>
        </is>
      </c>
      <c r="D1027" t="n">
        <v>3</v>
      </c>
      <c r="E1027" t="inlineStr">
        <is>
          <t>H0812</t>
        </is>
      </c>
      <c r="F1027" t="inlineStr">
        <is>
          <t>桃園市龍潭區梅龍三街130號旁工地</t>
        </is>
      </c>
      <c r="G1027" t="n">
        <v>24.871245</v>
      </c>
      <c r="H1027" t="n">
        <v>121.19465</v>
      </c>
      <c r="I1027" t="n">
        <v>16</v>
      </c>
      <c r="J1027" t="n">
        <v>3</v>
      </c>
      <c r="K1027" t="n">
        <v>45.8</v>
      </c>
      <c r="L1027" t="inlineStr">
        <is>
          <t>Primary</t>
        </is>
      </c>
    </row>
    <row r="1028">
      <c r="A1028" t="n">
        <v>3</v>
      </c>
      <c r="B1028" s="27" t="inlineStr">
        <is>
          <t>S07</t>
        </is>
      </c>
      <c r="C1028" t="inlineStr">
        <is>
          <t>PZ-B</t>
        </is>
      </c>
      <c r="D1028" t="n">
        <v>4</v>
      </c>
      <c r="E1028" t="inlineStr">
        <is>
          <t>H0813</t>
        </is>
      </c>
      <c r="F1028" t="inlineStr">
        <is>
          <t>桃園市龍潭區梅龍路515巷進去大約200公尺有帆布</t>
        </is>
      </c>
      <c r="G1028" t="n">
        <v>24.874853</v>
      </c>
      <c r="H1028" t="n">
        <v>121.190164</v>
      </c>
      <c r="I1028" t="n">
        <v>16</v>
      </c>
      <c r="J1028" t="n">
        <v>3</v>
      </c>
      <c r="K1028" t="n">
        <v>64.8</v>
      </c>
      <c r="L1028" t="inlineStr">
        <is>
          <t>Primary</t>
        </is>
      </c>
    </row>
    <row r="1029">
      <c r="A1029" t="n">
        <v>3</v>
      </c>
      <c r="B1029" s="27" t="inlineStr">
        <is>
          <t>S07</t>
        </is>
      </c>
      <c r="C1029" t="inlineStr">
        <is>
          <t>PZ-B</t>
        </is>
      </c>
      <c r="D1029" t="n">
        <v>5</v>
      </c>
      <c r="E1029" t="inlineStr">
        <is>
          <t>H0806</t>
        </is>
      </c>
      <c r="F1029" t="inlineStr">
        <is>
          <t>桃園市龍潭區宏遠路16號</t>
        </is>
      </c>
      <c r="G1029" t="n">
        <v>24.867536</v>
      </c>
      <c r="H1029" t="n">
        <v>121.215175</v>
      </c>
      <c r="I1029" t="n">
        <v>8</v>
      </c>
      <c r="J1029" t="n">
        <v>6.4</v>
      </c>
      <c r="K1029" t="n">
        <v>79.2</v>
      </c>
      <c r="L1029" t="inlineStr">
        <is>
          <t>Primary</t>
        </is>
      </c>
    </row>
    <row r="1030">
      <c r="A1030" t="n">
        <v>3</v>
      </c>
      <c r="B1030" s="27" t="inlineStr">
        <is>
          <t>S07</t>
        </is>
      </c>
      <c r="C1030" t="inlineStr">
        <is>
          <t>PZ-B</t>
        </is>
      </c>
      <c r="D1030" t="n">
        <v>6</v>
      </c>
      <c r="E1030" t="inlineStr">
        <is>
          <t>H0818</t>
        </is>
      </c>
      <c r="F1030" t="inlineStr">
        <is>
          <t>桃園市龍潭區富華街三林段550號旁</t>
        </is>
      </c>
      <c r="G1030" t="n">
        <v>24.835155</v>
      </c>
      <c r="H1030" t="n">
        <v>121.228831</v>
      </c>
      <c r="I1030" t="n">
        <v>8</v>
      </c>
      <c r="J1030" t="n">
        <v>9.300000000000001</v>
      </c>
      <c r="K1030" t="n">
        <v>96.40000000000001</v>
      </c>
      <c r="L1030" t="inlineStr">
        <is>
          <t>Primary</t>
        </is>
      </c>
    </row>
    <row r="1031">
      <c r="A1031" t="n">
        <v>3</v>
      </c>
      <c r="B1031" s="27" t="inlineStr">
        <is>
          <t>S07</t>
        </is>
      </c>
      <c r="C1031" t="inlineStr">
        <is>
          <t>PZ-B</t>
        </is>
      </c>
      <c r="D1031" t="n">
        <v>7</v>
      </c>
      <c r="E1031" t="inlineStr">
        <is>
          <t>H0795</t>
        </is>
      </c>
      <c r="F1031" t="inlineStr">
        <is>
          <t>桃園市龍潭區民有路61號</t>
        </is>
      </c>
      <c r="G1031" t="n">
        <v>24.824964</v>
      </c>
      <c r="H1031" t="n">
        <v>121.239547</v>
      </c>
      <c r="I1031" t="n">
        <v>16</v>
      </c>
      <c r="J1031" t="n">
        <v>3.8</v>
      </c>
      <c r="K1031" t="n">
        <v>116.2</v>
      </c>
      <c r="L1031" t="inlineStr">
        <is>
          <t>Primary</t>
        </is>
      </c>
    </row>
    <row r="1032">
      <c r="A1032" t="n">
        <v>3</v>
      </c>
      <c r="B1032" s="27" t="inlineStr">
        <is>
          <t>S07</t>
        </is>
      </c>
      <c r="C1032" t="inlineStr">
        <is>
          <t>PZ-B</t>
        </is>
      </c>
      <c r="D1032" t="n">
        <v>8</v>
      </c>
      <c r="E1032" t="inlineStr">
        <is>
          <t>H0286</t>
        </is>
      </c>
      <c r="F1032" t="inlineStr">
        <is>
          <t>桃園市大溪區北橫公路176號旁24°50'28.1"N 121°16'57.2"E</t>
        </is>
      </c>
      <c r="G1032" t="n">
        <v>24.840219</v>
      </c>
      <c r="H1032" t="n">
        <v>121.282503</v>
      </c>
      <c r="I1032" t="n">
        <v>8</v>
      </c>
      <c r="J1032" t="n">
        <v>11.2</v>
      </c>
      <c r="K1032" t="n">
        <v>135.4</v>
      </c>
      <c r="L1032" t="inlineStr">
        <is>
          <t>Primary</t>
        </is>
      </c>
    </row>
    <row r="1033">
      <c r="A1033" t="n">
        <v>3</v>
      </c>
      <c r="B1033" s="27" t="inlineStr">
        <is>
          <t>S07</t>
        </is>
      </c>
      <c r="C1033" t="inlineStr">
        <is>
          <t>PZ-B</t>
        </is>
      </c>
      <c r="D1033" t="n">
        <v>9</v>
      </c>
      <c r="E1033" t="inlineStr">
        <is>
          <t>H0294</t>
        </is>
      </c>
      <c r="F1033" t="inlineStr">
        <is>
          <t>桃園市大溪區承恩路385號 (綠善生活農埸)</t>
        </is>
      </c>
      <c r="G1033" t="n">
        <v>24.828056</v>
      </c>
      <c r="H1033" t="n">
        <v>121.299666</v>
      </c>
      <c r="I1033" t="n">
        <v>8</v>
      </c>
      <c r="J1033" t="n">
        <v>5.3</v>
      </c>
      <c r="K1033" t="n">
        <v>148.6</v>
      </c>
      <c r="L1033" t="inlineStr">
        <is>
          <t>Primary</t>
        </is>
      </c>
    </row>
    <row r="1034">
      <c r="A1034" t="n">
        <v>3</v>
      </c>
      <c r="B1034" s="27" t="inlineStr">
        <is>
          <t>S07</t>
        </is>
      </c>
      <c r="C1034" t="inlineStr">
        <is>
          <t>PZ-B</t>
        </is>
      </c>
      <c r="D1034" t="n">
        <v>10</v>
      </c>
      <c r="E1034" t="inlineStr">
        <is>
          <t>H0297</t>
        </is>
      </c>
      <c r="F1034" t="inlineStr">
        <is>
          <t>桃園市大溪區信義路328巷內近信義路口</t>
        </is>
      </c>
      <c r="G1034" t="n">
        <v>24.889544</v>
      </c>
      <c r="H1034" t="n">
        <v>121.3004</v>
      </c>
      <c r="I1034" t="n">
        <v>8</v>
      </c>
      <c r="J1034" t="n">
        <v>16.4</v>
      </c>
      <c r="K1034" t="n">
        <v>173</v>
      </c>
      <c r="L1034" t="inlineStr">
        <is>
          <t>Primary</t>
        </is>
      </c>
    </row>
    <row r="1035">
      <c r="A1035" t="n">
        <v>3</v>
      </c>
      <c r="B1035" s="27" t="inlineStr">
        <is>
          <t>S07</t>
        </is>
      </c>
      <c r="C1035" t="inlineStr">
        <is>
          <t>PZ-B</t>
        </is>
      </c>
      <c r="D1035" t="n">
        <v>11</v>
      </c>
      <c r="E1035" t="inlineStr">
        <is>
          <t>H0284</t>
        </is>
      </c>
      <c r="F1035" t="inlineStr">
        <is>
          <t>桃園市大溪區介壽路566巷25弄170號對面工地</t>
        </is>
      </c>
      <c r="G1035" t="n">
        <v>24.9089</v>
      </c>
      <c r="H1035" t="n">
        <v>121.286266</v>
      </c>
      <c r="I1035" t="n">
        <v>8</v>
      </c>
      <c r="J1035" t="n">
        <v>6.2</v>
      </c>
      <c r="K1035" t="n">
        <v>187.2</v>
      </c>
      <c r="L1035" t="inlineStr">
        <is>
          <t>Primary</t>
        </is>
      </c>
    </row>
    <row r="1036">
      <c r="A1036" t="n">
        <v>3</v>
      </c>
      <c r="B1036" s="27" t="inlineStr">
        <is>
          <t>S07</t>
        </is>
      </c>
      <c r="C1036" t="inlineStr">
        <is>
          <t>PZ-B</t>
        </is>
      </c>
      <c r="D1036" t="n">
        <v>12</v>
      </c>
      <c r="E1036" t="inlineStr">
        <is>
          <t>H0318</t>
        </is>
      </c>
      <c r="F1036" t="inlineStr">
        <is>
          <t>桃園市大溪區新光東路20巷18號旁</t>
        </is>
      </c>
      <c r="G1036" t="n">
        <v>24.918173</v>
      </c>
      <c r="H1036" t="n">
        <v>121.289797</v>
      </c>
      <c r="I1036" t="n">
        <v>8</v>
      </c>
      <c r="J1036" t="n">
        <v>3</v>
      </c>
      <c r="K1036" t="n">
        <v>198.2</v>
      </c>
      <c r="L1036" t="inlineStr">
        <is>
          <t>Primary</t>
        </is>
      </c>
    </row>
    <row r="1037">
      <c r="A1037" t="n">
        <v>3</v>
      </c>
      <c r="B1037" s="27" t="inlineStr">
        <is>
          <t>S07</t>
        </is>
      </c>
      <c r="C1037" t="inlineStr">
        <is>
          <t>PZ-B</t>
        </is>
      </c>
      <c r="D1037" t="n">
        <v>13</v>
      </c>
      <c r="E1037" t="inlineStr">
        <is>
          <t>H0054</t>
        </is>
      </c>
      <c r="F1037" t="inlineStr">
        <is>
          <t>桃園市八德區豐田三路&amp;豐德二路交叉口</t>
        </is>
      </c>
      <c r="G1037" t="n">
        <v>24.92845</v>
      </c>
      <c r="H1037" t="n">
        <v>121.285719</v>
      </c>
      <c r="I1037" t="n">
        <v>8</v>
      </c>
      <c r="J1037" t="n">
        <v>3</v>
      </c>
      <c r="K1037" t="n">
        <v>209.2</v>
      </c>
      <c r="L1037" t="inlineStr">
        <is>
          <t>Primary</t>
        </is>
      </c>
    </row>
    <row r="1038">
      <c r="A1038" t="n">
        <v>3</v>
      </c>
      <c r="B1038" s="27" t="inlineStr">
        <is>
          <t>S07</t>
        </is>
      </c>
      <c r="C1038" t="inlineStr">
        <is>
          <t>PZ-B</t>
        </is>
      </c>
      <c r="D1038" t="n">
        <v>14</v>
      </c>
      <c r="E1038" t="inlineStr">
        <is>
          <t>H0035</t>
        </is>
      </c>
      <c r="F1038" t="inlineStr">
        <is>
          <t>桃園市八德區建興街58巷</t>
        </is>
      </c>
      <c r="G1038" t="n">
        <v>24.931</v>
      </c>
      <c r="H1038" t="n">
        <v>121.28725</v>
      </c>
      <c r="I1038" t="n">
        <v>8</v>
      </c>
      <c r="J1038" t="n">
        <v>3</v>
      </c>
      <c r="K1038" t="n">
        <v>220.2</v>
      </c>
      <c r="L1038" t="inlineStr">
        <is>
          <t>Primary</t>
        </is>
      </c>
    </row>
    <row r="1039">
      <c r="A1039" t="n">
        <v>3</v>
      </c>
      <c r="B1039" s="27" t="inlineStr">
        <is>
          <t>S07</t>
        </is>
      </c>
      <c r="C1039" t="inlineStr">
        <is>
          <t>PZ-B</t>
        </is>
      </c>
      <c r="D1039" t="n">
        <v>15</v>
      </c>
      <c r="E1039" t="inlineStr">
        <is>
          <t>H0036</t>
        </is>
      </c>
      <c r="F1039" t="inlineStr">
        <is>
          <t>桃園市八德區建興街89號</t>
        </is>
      </c>
      <c r="G1039" t="n">
        <v>24.931906</v>
      </c>
      <c r="H1039" t="n">
        <v>121.287044</v>
      </c>
      <c r="I1039" t="n">
        <v>8</v>
      </c>
      <c r="J1039" t="n">
        <v>3</v>
      </c>
      <c r="K1039" t="n">
        <v>231.2</v>
      </c>
      <c r="L1039" t="inlineStr">
        <is>
          <t>Primary</t>
        </is>
      </c>
    </row>
    <row r="1040">
      <c r="A1040" t="n">
        <v>3</v>
      </c>
      <c r="B1040" s="27" t="inlineStr">
        <is>
          <t>S07</t>
        </is>
      </c>
      <c r="C1040" t="inlineStr">
        <is>
          <t>PZ-B</t>
        </is>
      </c>
      <c r="D1040" t="n">
        <v>16</v>
      </c>
      <c r="E1040" t="inlineStr">
        <is>
          <t>H0030</t>
        </is>
      </c>
      <c r="F1040" t="inlineStr">
        <is>
          <t>桃園市八德區建國路65號對面-福興段524地號</t>
        </is>
      </c>
      <c r="G1040" t="n">
        <v>24.932259</v>
      </c>
      <c r="H1040" t="n">
        <v>121.285464</v>
      </c>
      <c r="I1040" t="n">
        <v>8</v>
      </c>
      <c r="J1040" t="n">
        <v>3</v>
      </c>
      <c r="K1040" t="n">
        <v>242.2</v>
      </c>
      <c r="L1040" t="inlineStr">
        <is>
          <t>Primary</t>
        </is>
      </c>
    </row>
    <row r="1041">
      <c r="A1041" t="n">
        <v>3</v>
      </c>
      <c r="B1041" s="27" t="inlineStr">
        <is>
          <t>S07</t>
        </is>
      </c>
      <c r="C1041" t="inlineStr">
        <is>
          <t>PZ-B</t>
        </is>
      </c>
      <c r="D1041" t="n">
        <v>17</v>
      </c>
      <c r="E1041" t="inlineStr">
        <is>
          <t>H0050</t>
        </is>
      </c>
      <c r="F1041" t="inlineStr">
        <is>
          <t>桃園市八德區廣興路132巷30弄15號</t>
        </is>
      </c>
      <c r="G1041" t="n">
        <v>24.93369966666667</v>
      </c>
      <c r="H1041" t="n">
        <v>121.284992</v>
      </c>
      <c r="I1041" t="n">
        <v>24</v>
      </c>
      <c r="J1041" t="n">
        <v>3</v>
      </c>
      <c r="K1041" t="n">
        <v>269.2</v>
      </c>
      <c r="L1041" t="inlineStr">
        <is>
          <t>Primary</t>
        </is>
      </c>
    </row>
    <row r="1042">
      <c r="A1042" t="n">
        <v>3</v>
      </c>
      <c r="B1042" s="27" t="inlineStr">
        <is>
          <t>S07</t>
        </is>
      </c>
      <c r="C1042" t="inlineStr">
        <is>
          <t>PZ-B</t>
        </is>
      </c>
      <c r="D1042" t="n">
        <v>18</v>
      </c>
      <c r="E1042" t="inlineStr">
        <is>
          <t>H0049</t>
        </is>
      </c>
      <c r="F1042" t="inlineStr">
        <is>
          <t>桃園市八德區廣興五街15號</t>
        </is>
      </c>
      <c r="G1042" t="n">
        <v>24.935305</v>
      </c>
      <c r="H1042" t="n">
        <v>121.284083</v>
      </c>
      <c r="I1042" t="n">
        <v>8</v>
      </c>
      <c r="J1042" t="n">
        <v>3</v>
      </c>
      <c r="K1042" t="n">
        <v>280.2</v>
      </c>
      <c r="L1042" t="inlineStr">
        <is>
          <t>Primary</t>
        </is>
      </c>
    </row>
    <row r="1043">
      <c r="A1043" t="n">
        <v>3</v>
      </c>
      <c r="B1043" s="27" t="inlineStr">
        <is>
          <t>S07</t>
        </is>
      </c>
      <c r="C1043" t="inlineStr">
        <is>
          <t>PZ-B</t>
        </is>
      </c>
      <c r="D1043" t="n">
        <v>19</v>
      </c>
      <c r="E1043" t="inlineStr">
        <is>
          <t>H0051</t>
        </is>
      </c>
      <c r="F1043" t="inlineStr">
        <is>
          <t>桃園市八德區廣興路316巷2號附近(捷運工程工地)-電聯定位</t>
        </is>
      </c>
      <c r="G1043" t="n">
        <v>24.937511</v>
      </c>
      <c r="H1043" t="n">
        <v>121.2857484</v>
      </c>
      <c r="I1043" t="n">
        <v>16</v>
      </c>
      <c r="J1043" t="n">
        <v>3</v>
      </c>
      <c r="K1043" t="n">
        <v>299.2</v>
      </c>
      <c r="L1043" t="inlineStr">
        <is>
          <t>Primary</t>
        </is>
      </c>
    </row>
    <row r="1044">
      <c r="A1044" t="n">
        <v>3</v>
      </c>
      <c r="B1044" s="27" t="inlineStr">
        <is>
          <t>S07</t>
        </is>
      </c>
      <c r="C1044" t="inlineStr">
        <is>
          <t>PZ-B</t>
        </is>
      </c>
      <c r="D1044" t="n">
        <v>20</v>
      </c>
      <c r="E1044" t="inlineStr">
        <is>
          <t>H0055</t>
        </is>
      </c>
      <c r="F1044" t="inlineStr">
        <is>
          <t>桃園市八德區豐田路(附座標+照片定位)</t>
        </is>
      </c>
      <c r="G1044" t="n">
        <v>24.937205</v>
      </c>
      <c r="H1044" t="n">
        <v>121.289355</v>
      </c>
      <c r="I1044" t="n">
        <v>16</v>
      </c>
      <c r="J1044" t="n">
        <v>3</v>
      </c>
      <c r="K1044" t="n">
        <v>318.2</v>
      </c>
      <c r="L1044" t="inlineStr">
        <is>
          <t>Primary</t>
        </is>
      </c>
    </row>
    <row r="1045">
      <c r="A1045" t="n">
        <v>3</v>
      </c>
      <c r="B1045" s="27" t="inlineStr">
        <is>
          <t>S07</t>
        </is>
      </c>
      <c r="C1045" t="inlineStr">
        <is>
          <t>PZ-B</t>
        </is>
      </c>
      <c r="D1045" t="n">
        <v>21</v>
      </c>
      <c r="E1045" t="inlineStr">
        <is>
          <t>H0031</t>
        </is>
      </c>
      <c r="F1045" t="inlineStr">
        <is>
          <t>桃園市八德區建國路700號</t>
        </is>
      </c>
      <c r="G1045" t="n">
        <v>24.94922466666667</v>
      </c>
      <c r="H1045" t="n">
        <v>121.2906133333333</v>
      </c>
      <c r="I1045" t="n">
        <v>24</v>
      </c>
      <c r="J1045" t="n">
        <v>3.2</v>
      </c>
      <c r="K1045" t="n">
        <v>345.5</v>
      </c>
      <c r="L1045" t="inlineStr">
        <is>
          <t>Primary</t>
        </is>
      </c>
    </row>
    <row r="1046">
      <c r="A1046" t="n">
        <v>3</v>
      </c>
      <c r="B1046" s="27" t="inlineStr">
        <is>
          <t>S07</t>
        </is>
      </c>
      <c r="C1046" t="inlineStr">
        <is>
          <t>PZ-B</t>
        </is>
      </c>
      <c r="D1046" t="n">
        <v>22</v>
      </c>
      <c r="E1046" t="inlineStr">
        <is>
          <t>H0009</t>
        </is>
      </c>
      <c r="F1046" t="inlineStr">
        <is>
          <t>桃園市八德區介壽路二段252巷71弄</t>
        </is>
      </c>
      <c r="G1046" t="n">
        <v>24.949969</v>
      </c>
      <c r="H1046" t="n">
        <v>121.295358</v>
      </c>
      <c r="I1046" t="n">
        <v>8</v>
      </c>
      <c r="J1046" t="n">
        <v>3</v>
      </c>
      <c r="K1046" t="n">
        <v>356.5</v>
      </c>
      <c r="L1046" t="inlineStr">
        <is>
          <t>Primary</t>
        </is>
      </c>
    </row>
    <row r="1047">
      <c r="A1047" t="n">
        <v>3</v>
      </c>
      <c r="B1047" s="27" t="inlineStr">
        <is>
          <t>S07</t>
        </is>
      </c>
      <c r="C1047" t="inlineStr">
        <is>
          <t>PZ-B</t>
        </is>
      </c>
      <c r="D1047" t="n">
        <v>23</v>
      </c>
      <c r="E1047" t="inlineStr">
        <is>
          <t>H0010</t>
        </is>
      </c>
      <c r="F1047" t="inlineStr">
        <is>
          <t>桃園市八德區介壽路二段361巷19弄18號</t>
        </is>
      </c>
      <c r="G1047" t="n">
        <v>24.948127</v>
      </c>
      <c r="H1047" t="n">
        <v>121.298397</v>
      </c>
      <c r="I1047" t="n">
        <v>8</v>
      </c>
      <c r="J1047" t="n">
        <v>3</v>
      </c>
      <c r="K1047" t="n">
        <v>367.5</v>
      </c>
      <c r="L1047" t="inlineStr">
        <is>
          <t>Primary</t>
        </is>
      </c>
    </row>
    <row r="1048">
      <c r="A1048" t="n">
        <v>3</v>
      </c>
      <c r="B1048" s="27" t="inlineStr">
        <is>
          <t>S07</t>
        </is>
      </c>
      <c r="C1048" t="inlineStr">
        <is>
          <t>PZ-B</t>
        </is>
      </c>
      <c r="D1048" t="n">
        <v>24</v>
      </c>
      <c r="E1048" t="inlineStr">
        <is>
          <t>H0042</t>
        </is>
      </c>
      <c r="F1048" t="inlineStr">
        <is>
          <t>桃園市八德區重慶街150巷34號, 附圖</t>
        </is>
      </c>
      <c r="G1048" t="n">
        <v>24.954997</v>
      </c>
      <c r="H1048" t="n">
        <v>121.303064</v>
      </c>
      <c r="I1048" t="n">
        <v>8</v>
      </c>
      <c r="J1048" t="n">
        <v>3</v>
      </c>
      <c r="K1048" t="n">
        <v>378.5</v>
      </c>
      <c r="L1048" t="inlineStr">
        <is>
          <t>Primary</t>
        </is>
      </c>
    </row>
    <row r="1049">
      <c r="A1049" t="n">
        <v>3</v>
      </c>
      <c r="B1049" s="27" t="inlineStr">
        <is>
          <t>S07</t>
        </is>
      </c>
      <c r="C1049" t="inlineStr">
        <is>
          <t>PZ-B</t>
        </is>
      </c>
      <c r="D1049" t="n">
        <v>25</v>
      </c>
      <c r="E1049" t="inlineStr">
        <is>
          <t>H0041</t>
        </is>
      </c>
      <c r="F1049" t="inlineStr">
        <is>
          <t>桃園市八德區重慶街&amp;重慶街198巷交叉</t>
        </is>
      </c>
      <c r="G1049" t="n">
        <v>24.955894</v>
      </c>
      <c r="H1049" t="n">
        <v>121.305281</v>
      </c>
      <c r="I1049" t="n">
        <v>8</v>
      </c>
      <c r="J1049" t="n">
        <v>3</v>
      </c>
      <c r="K1049" t="n">
        <v>389.5</v>
      </c>
      <c r="L1049" t="inlineStr">
        <is>
          <t>Primary</t>
        </is>
      </c>
    </row>
    <row r="1050">
      <c r="A1050" t="n">
        <v>3</v>
      </c>
      <c r="B1050" s="27" t="inlineStr">
        <is>
          <t>S07</t>
        </is>
      </c>
      <c r="C1050" t="inlineStr">
        <is>
          <t>PZ-B</t>
        </is>
      </c>
      <c r="D1050" t="n">
        <v>26</v>
      </c>
      <c r="E1050" t="inlineStr">
        <is>
          <t>H0038</t>
        </is>
      </c>
      <c r="F1050" t="inlineStr">
        <is>
          <t>桃園市八德區指玄街288巷30號旁工地</t>
        </is>
      </c>
      <c r="G1050" t="n">
        <v>24.9547015</v>
      </c>
      <c r="H1050" t="n">
        <v>121.3064955</v>
      </c>
      <c r="I1050" t="n">
        <v>16</v>
      </c>
      <c r="J1050" t="n">
        <v>3</v>
      </c>
      <c r="K1050" t="n">
        <v>408.5</v>
      </c>
      <c r="L1050" t="inlineStr">
        <is>
          <t>Primary</t>
        </is>
      </c>
    </row>
    <row r="1051">
      <c r="A1051" t="n">
        <v>3</v>
      </c>
      <c r="B1051" s="27" t="inlineStr">
        <is>
          <t>S07</t>
        </is>
      </c>
      <c r="C1051" t="inlineStr">
        <is>
          <t>PZ-B</t>
        </is>
      </c>
      <c r="D1051" t="n">
        <v>27</v>
      </c>
      <c r="E1051" t="inlineStr">
        <is>
          <t>H0014</t>
        </is>
      </c>
      <c r="F1051" t="inlineStr">
        <is>
          <t>桃園市八德區和平路276巷39弄</t>
        </is>
      </c>
      <c r="G1051" t="n">
        <v>24.955519</v>
      </c>
      <c r="H1051" t="n">
        <v>121.307186</v>
      </c>
      <c r="I1051" t="n">
        <v>8</v>
      </c>
      <c r="J1051" t="n">
        <v>3</v>
      </c>
      <c r="K1051" t="n">
        <v>419.5</v>
      </c>
      <c r="L1051" t="inlineStr">
        <is>
          <t>Primary</t>
        </is>
      </c>
    </row>
    <row r="1052">
      <c r="A1052" t="n">
        <v>3</v>
      </c>
      <c r="B1052" s="27" t="inlineStr">
        <is>
          <t>S07</t>
        </is>
      </c>
      <c r="C1052" t="inlineStr">
        <is>
          <t>PZ-B</t>
        </is>
      </c>
      <c r="D1052" t="n">
        <v>28</v>
      </c>
      <c r="E1052" t="inlineStr">
        <is>
          <t>H0047</t>
        </is>
      </c>
      <c r="F1052" t="inlineStr">
        <is>
          <t>桃園市八德區榮興路130號</t>
        </is>
      </c>
      <c r="G1052" t="n">
        <v>24.953264</v>
      </c>
      <c r="H1052" t="n">
        <v>121.310414</v>
      </c>
      <c r="I1052" t="n">
        <v>8</v>
      </c>
      <c r="J1052" t="n">
        <v>3</v>
      </c>
      <c r="K1052" t="n">
        <v>430.5</v>
      </c>
      <c r="L1052" t="inlineStr">
        <is>
          <t>Primary</t>
        </is>
      </c>
    </row>
    <row r="1053">
      <c r="A1053" t="n">
        <v>3</v>
      </c>
      <c r="B1053" s="27" t="inlineStr">
        <is>
          <t>S07</t>
        </is>
      </c>
      <c r="C1053" t="inlineStr">
        <is>
          <t>PZ-B</t>
        </is>
      </c>
      <c r="D1053" t="n">
        <v>29</v>
      </c>
      <c r="E1053" t="inlineStr">
        <is>
          <t>H0016</t>
        </is>
      </c>
      <c r="F1053" t="inlineStr">
        <is>
          <t>桃園市八德區和平路566巷口</t>
        </is>
      </c>
      <c r="G1053" t="n">
        <v>24.956903</v>
      </c>
      <c r="H1053" t="n">
        <v>121.313558</v>
      </c>
      <c r="I1053" t="n">
        <v>8</v>
      </c>
      <c r="J1053" t="n">
        <v>3</v>
      </c>
      <c r="K1053" t="n">
        <v>441.5</v>
      </c>
      <c r="L1053" t="inlineStr">
        <is>
          <t>Primary</t>
        </is>
      </c>
    </row>
    <row r="1054">
      <c r="A1054" t="n">
        <v>3</v>
      </c>
      <c r="B1054" s="27" t="inlineStr">
        <is>
          <t>S07</t>
        </is>
      </c>
      <c r="C1054" t="inlineStr">
        <is>
          <t>PZ-B</t>
        </is>
      </c>
      <c r="D1054" t="n">
        <v>30</v>
      </c>
      <c r="E1054" t="inlineStr">
        <is>
          <t>H0018</t>
        </is>
      </c>
      <c r="F1054" t="inlineStr">
        <is>
          <t>桃園市八德區和平路825巷4弄13號旁-中華段1971.1983地號</t>
        </is>
      </c>
      <c r="G1054" t="n">
        <v>24.959117</v>
      </c>
      <c r="H1054" t="n">
        <v>121.318331</v>
      </c>
      <c r="I1054" t="n">
        <v>8</v>
      </c>
      <c r="J1054" t="n">
        <v>3</v>
      </c>
      <c r="K1054" t="n">
        <v>452.5</v>
      </c>
      <c r="L1054" t="inlineStr">
        <is>
          <t>Primary</t>
        </is>
      </c>
    </row>
    <row r="1055">
      <c r="A1055" t="n">
        <v>3</v>
      </c>
      <c r="B1055" s="27" t="inlineStr">
        <is>
          <t>S07</t>
        </is>
      </c>
      <c r="C1055" t="inlineStr">
        <is>
          <t>PZ-B</t>
        </is>
      </c>
      <c r="D1055" t="n">
        <v>31</v>
      </c>
      <c r="E1055" t="inlineStr">
        <is>
          <t>H0017</t>
        </is>
      </c>
      <c r="F1055" t="inlineStr">
        <is>
          <t>桃園市八德區和平路772巷底工地-電聯定位</t>
        </is>
      </c>
      <c r="G1055" t="n">
        <v>24.955992</v>
      </c>
      <c r="H1055" t="n">
        <v>121.319514</v>
      </c>
      <c r="I1055" t="n">
        <v>16</v>
      </c>
      <c r="J1055" t="n">
        <v>3</v>
      </c>
      <c r="K1055" t="n">
        <v>471.5</v>
      </c>
      <c r="L1055" t="inlineStr">
        <is>
          <t>Primary</t>
        </is>
      </c>
    </row>
    <row r="1056">
      <c r="A1056" t="n">
        <v>3</v>
      </c>
      <c r="B1056" s="27" t="inlineStr">
        <is>
          <t>S07</t>
        </is>
      </c>
      <c r="C1056" t="inlineStr">
        <is>
          <t>PZ-B</t>
        </is>
      </c>
      <c r="D1056" t="n">
        <v>32</v>
      </c>
      <c r="E1056" t="inlineStr">
        <is>
          <t>H0024</t>
        </is>
      </c>
      <c r="F1056" t="inlineStr">
        <is>
          <t>桃園市八德區長安街306號旁工地</t>
        </is>
      </c>
      <c r="G1056" t="n">
        <v>24.951061</v>
      </c>
      <c r="H1056" t="n">
        <v>121.317175</v>
      </c>
      <c r="I1056" t="n">
        <v>8</v>
      </c>
      <c r="J1056" t="n">
        <v>3</v>
      </c>
      <c r="K1056" t="n">
        <v>482.5</v>
      </c>
      <c r="L1056" t="inlineStr">
        <is>
          <t>Primary</t>
        </is>
      </c>
    </row>
    <row r="1057">
      <c r="A1057" t="n">
        <v>3</v>
      </c>
      <c r="B1057" s="27" t="inlineStr">
        <is>
          <t>S07</t>
        </is>
      </c>
      <c r="C1057" t="inlineStr">
        <is>
          <t>PZ-B</t>
        </is>
      </c>
      <c r="D1057" t="n">
        <v>33</v>
      </c>
      <c r="E1057" t="inlineStr">
        <is>
          <t>H0053</t>
        </is>
      </c>
      <c r="F1057" t="inlineStr">
        <is>
          <t>桃園市八德區興豐路2350巷501號</t>
        </is>
      </c>
      <c r="G1057" t="n">
        <v>24.944961</v>
      </c>
      <c r="H1057" t="n">
        <v>121.325948</v>
      </c>
      <c r="I1057" t="n">
        <v>8</v>
      </c>
      <c r="J1057" t="n">
        <v>3</v>
      </c>
      <c r="K1057" t="n">
        <v>493.5</v>
      </c>
      <c r="L1057" t="inlineStr">
        <is>
          <t>Primary</t>
        </is>
      </c>
    </row>
    <row r="1058">
      <c r="A1058" t="n">
        <v>3</v>
      </c>
      <c r="B1058" s="27" t="inlineStr">
        <is>
          <t>S07</t>
        </is>
      </c>
      <c r="C1058" t="inlineStr">
        <is>
          <t>PZ-B</t>
        </is>
      </c>
      <c r="D1058" t="n">
        <v>34</v>
      </c>
      <c r="E1058" t="inlineStr">
        <is>
          <t>H0015</t>
        </is>
      </c>
      <c r="F1058" t="inlineStr">
        <is>
          <t>桃園市八德區和平路31號</t>
        </is>
      </c>
      <c r="G1058" t="n">
        <v>24.957622</v>
      </c>
      <c r="H1058" t="n">
        <v>121.300244</v>
      </c>
      <c r="I1058" t="n">
        <v>8</v>
      </c>
      <c r="J1058" t="n">
        <v>7.1</v>
      </c>
      <c r="K1058" t="n">
        <v>508.5</v>
      </c>
      <c r="L1058" t="inlineStr">
        <is>
          <t>Primary</t>
        </is>
      </c>
    </row>
    <row r="1059">
      <c r="A1059" t="n">
        <v>3</v>
      </c>
      <c r="B1059" s="27" t="inlineStr">
        <is>
          <t>S07</t>
        </is>
      </c>
      <c r="C1059" t="inlineStr">
        <is>
          <t>PZ-B</t>
        </is>
      </c>
      <c r="D1059" t="n">
        <v>35</v>
      </c>
      <c r="E1059" t="inlineStr">
        <is>
          <t>H0020</t>
        </is>
      </c>
      <c r="F1059" t="inlineStr">
        <is>
          <t>桃園市八德區忠勇六街-兒童公園</t>
        </is>
      </c>
      <c r="G1059" t="n">
        <v>24.965594</v>
      </c>
      <c r="H1059" t="n">
        <v>121.306144</v>
      </c>
      <c r="I1059" t="n">
        <v>8</v>
      </c>
      <c r="J1059" t="n">
        <v>3</v>
      </c>
      <c r="K1059" t="n">
        <v>519.5</v>
      </c>
      <c r="L1059" t="inlineStr">
        <is>
          <t>Primary</t>
        </is>
      </c>
    </row>
    <row r="1060">
      <c r="A1060" t="n">
        <v>4</v>
      </c>
      <c r="B1060" s="27" t="inlineStr">
        <is>
          <t>S07</t>
        </is>
      </c>
      <c r="C1060" t="inlineStr">
        <is>
          <t>PZ-B</t>
        </is>
      </c>
      <c r="D1060" t="n">
        <v>1</v>
      </c>
      <c r="E1060" t="inlineStr">
        <is>
          <t>H0703</t>
        </is>
      </c>
      <c r="F1060" t="inlineStr">
        <is>
          <t>桃園市楊梅區永平路237號隔壁</t>
        </is>
      </c>
      <c r="G1060" t="n">
        <v>24.920811</v>
      </c>
      <c r="H1060" t="n">
        <v>121.179842</v>
      </c>
      <c r="I1060" t="n">
        <v>8</v>
      </c>
      <c r="J1060" t="n">
        <v>12</v>
      </c>
      <c r="K1060" t="n">
        <v>20</v>
      </c>
      <c r="L1060" t="inlineStr">
        <is>
          <t>Primary</t>
        </is>
      </c>
    </row>
    <row r="1061">
      <c r="A1061" t="n">
        <v>4</v>
      </c>
      <c r="B1061" s="27" t="inlineStr">
        <is>
          <t>S07</t>
        </is>
      </c>
      <c r="C1061" t="inlineStr">
        <is>
          <t>PZ-B</t>
        </is>
      </c>
      <c r="D1061" t="n">
        <v>2</v>
      </c>
      <c r="E1061" t="inlineStr">
        <is>
          <t>H0704</t>
        </is>
      </c>
      <c r="F1061" t="inlineStr">
        <is>
          <t>桃園市楊梅區永平路415號對面</t>
        </is>
      </c>
      <c r="G1061" t="n">
        <v>24.920128</v>
      </c>
      <c r="H1061" t="n">
        <v>121.176739</v>
      </c>
      <c r="I1061" t="n">
        <v>8</v>
      </c>
      <c r="J1061" t="n">
        <v>3</v>
      </c>
      <c r="K1061" t="n">
        <v>31</v>
      </c>
      <c r="L1061" t="inlineStr">
        <is>
          <t>Primary</t>
        </is>
      </c>
    </row>
    <row r="1062">
      <c r="A1062" t="n">
        <v>4</v>
      </c>
      <c r="B1062" s="27" t="inlineStr">
        <is>
          <t>S07</t>
        </is>
      </c>
      <c r="C1062" t="inlineStr">
        <is>
          <t>PZ-B</t>
        </is>
      </c>
      <c r="D1062" t="n">
        <v>3</v>
      </c>
      <c r="E1062" t="inlineStr">
        <is>
          <t>H0746</t>
        </is>
      </c>
      <c r="F1062" t="inlineStr">
        <is>
          <t>桃園市楊梅區梅獅路一段426巷-變電站(欣興電子後段)</t>
        </is>
      </c>
      <c r="G1062" t="n">
        <v>24.916003</v>
      </c>
      <c r="H1062" t="n">
        <v>121.17032</v>
      </c>
      <c r="I1062" t="n">
        <v>16</v>
      </c>
      <c r="J1062" t="n">
        <v>3</v>
      </c>
      <c r="K1062" t="n">
        <v>50</v>
      </c>
      <c r="L1062" t="inlineStr">
        <is>
          <t>Primary</t>
        </is>
      </c>
    </row>
    <row r="1063">
      <c r="A1063" t="n">
        <v>4</v>
      </c>
      <c r="B1063" s="27" t="inlineStr">
        <is>
          <t>S07</t>
        </is>
      </c>
      <c r="C1063" t="inlineStr">
        <is>
          <t>PZ-B</t>
        </is>
      </c>
      <c r="D1063" t="n">
        <v>4</v>
      </c>
      <c r="E1063" t="inlineStr">
        <is>
          <t>H0756</t>
        </is>
      </c>
      <c r="F1063" t="inlineStr">
        <is>
          <t>桃園市楊梅區新農街二段209巷63號對面</t>
        </is>
      </c>
      <c r="G1063" t="n">
        <v>24.914403</v>
      </c>
      <c r="H1063" t="n">
        <v>121.170056</v>
      </c>
      <c r="I1063" t="n">
        <v>16</v>
      </c>
      <c r="J1063" t="n">
        <v>3</v>
      </c>
      <c r="K1063" t="n">
        <v>69</v>
      </c>
      <c r="L1063" t="inlineStr">
        <is>
          <t>Primary</t>
        </is>
      </c>
    </row>
    <row r="1064">
      <c r="A1064" t="n">
        <v>4</v>
      </c>
      <c r="B1064" s="27" t="inlineStr">
        <is>
          <t>S07</t>
        </is>
      </c>
      <c r="C1064" t="inlineStr">
        <is>
          <t>PZ-B</t>
        </is>
      </c>
      <c r="D1064" t="n">
        <v>5</v>
      </c>
      <c r="E1064" t="inlineStr">
        <is>
          <t>H0755</t>
        </is>
      </c>
      <c r="F1064" t="inlineStr">
        <is>
          <t>桃園市楊梅區新農街二段&amp;三民北路交叉口</t>
        </is>
      </c>
      <c r="G1064" t="n">
        <v>24.912603</v>
      </c>
      <c r="H1064" t="n">
        <v>121.169975</v>
      </c>
      <c r="I1064" t="n">
        <v>8</v>
      </c>
      <c r="J1064" t="n">
        <v>3</v>
      </c>
      <c r="K1064" t="n">
        <v>80</v>
      </c>
      <c r="L1064" t="inlineStr">
        <is>
          <t>Primary</t>
        </is>
      </c>
    </row>
    <row r="1065">
      <c r="A1065" t="n">
        <v>4</v>
      </c>
      <c r="B1065" s="27" t="inlineStr">
        <is>
          <t>S07</t>
        </is>
      </c>
      <c r="C1065" t="inlineStr">
        <is>
          <t>PZ-B</t>
        </is>
      </c>
      <c r="D1065" t="n">
        <v>6</v>
      </c>
      <c r="E1065" t="inlineStr">
        <is>
          <t>H0679</t>
        </is>
      </c>
      <c r="F1065" t="inlineStr">
        <is>
          <t>桃園市楊梅區三元街272巷15弄26號旁</t>
        </is>
      </c>
      <c r="G1065" t="n">
        <v>24.911842</v>
      </c>
      <c r="H1065" t="n">
        <v>121.168856</v>
      </c>
      <c r="I1065" t="n">
        <v>8</v>
      </c>
      <c r="J1065" t="n">
        <v>3</v>
      </c>
      <c r="K1065" t="n">
        <v>91</v>
      </c>
      <c r="L1065" t="inlineStr">
        <is>
          <t>Primary</t>
        </is>
      </c>
    </row>
    <row r="1066">
      <c r="A1066" t="n">
        <v>4</v>
      </c>
      <c r="B1066" s="27" t="inlineStr">
        <is>
          <t>S07</t>
        </is>
      </c>
      <c r="C1066" t="inlineStr">
        <is>
          <t>PZ-B</t>
        </is>
      </c>
      <c r="D1066" t="n">
        <v>7</v>
      </c>
      <c r="E1066" t="inlineStr">
        <is>
          <t>H0686</t>
        </is>
      </c>
      <c r="F1066" t="inlineStr">
        <is>
          <t>桃園市楊梅區元化街6號</t>
        </is>
      </c>
      <c r="G1066" t="n">
        <v>24.909483</v>
      </c>
      <c r="H1066" t="n">
        <v>121.166756</v>
      </c>
      <c r="I1066" t="n">
        <v>8</v>
      </c>
      <c r="J1066" t="n">
        <v>3</v>
      </c>
      <c r="K1066" t="n">
        <v>102</v>
      </c>
      <c r="L1066" t="inlineStr">
        <is>
          <t>Primary</t>
        </is>
      </c>
    </row>
    <row r="1067">
      <c r="A1067" t="n">
        <v>4</v>
      </c>
      <c r="B1067" s="27" t="inlineStr">
        <is>
          <t>S07</t>
        </is>
      </c>
      <c r="C1067" t="inlineStr">
        <is>
          <t>PZ-B</t>
        </is>
      </c>
      <c r="D1067" t="n">
        <v>8</v>
      </c>
      <c r="E1067" t="inlineStr">
        <is>
          <t>H0757</t>
        </is>
      </c>
      <c r="F1067" t="inlineStr">
        <is>
          <t>桃園市楊梅區楊梅交流道附近-電聯定位</t>
        </is>
      </c>
      <c r="G1067" t="n">
        <v>24.908908</v>
      </c>
      <c r="H1067" t="n">
        <v>121.16575</v>
      </c>
      <c r="I1067" t="n">
        <v>16</v>
      </c>
      <c r="J1067" t="n">
        <v>3</v>
      </c>
      <c r="K1067" t="n">
        <v>121</v>
      </c>
      <c r="L1067" t="inlineStr">
        <is>
          <t>Primary</t>
        </is>
      </c>
    </row>
    <row r="1068">
      <c r="A1068" t="n">
        <v>4</v>
      </c>
      <c r="B1068" s="27" t="inlineStr">
        <is>
          <t>S07</t>
        </is>
      </c>
      <c r="C1068" t="inlineStr">
        <is>
          <t>PZ-B</t>
        </is>
      </c>
      <c r="D1068" t="n">
        <v>9</v>
      </c>
      <c r="E1068" t="inlineStr">
        <is>
          <t>H0770</t>
        </is>
      </c>
      <c r="F1068" t="inlineStr">
        <is>
          <t>桃園市楊梅區瑞溪路一段88號-楊光國小</t>
        </is>
      </c>
      <c r="G1068" t="n">
        <v>24.90585</v>
      </c>
      <c r="H1068" t="n">
        <v>121.169788</v>
      </c>
      <c r="I1068" t="n">
        <v>16</v>
      </c>
      <c r="J1068" t="n">
        <v>3</v>
      </c>
      <c r="K1068" t="n">
        <v>140</v>
      </c>
      <c r="L1068" t="inlineStr">
        <is>
          <t>Primary</t>
        </is>
      </c>
    </row>
    <row r="1069">
      <c r="A1069" t="n">
        <v>4</v>
      </c>
      <c r="B1069" s="27" t="inlineStr">
        <is>
          <t>S07</t>
        </is>
      </c>
      <c r="C1069" t="inlineStr">
        <is>
          <t>PZ-B</t>
        </is>
      </c>
      <c r="D1069" t="n">
        <v>10</v>
      </c>
      <c r="E1069" t="inlineStr">
        <is>
          <t>H0769</t>
        </is>
      </c>
      <c r="F1069" t="inlineStr">
        <is>
          <t>桃園市楊梅區瑞坪路18巷38號旁</t>
        </is>
      </c>
      <c r="G1069" t="n">
        <v>24.905603</v>
      </c>
      <c r="H1069" t="n">
        <v>121.175414</v>
      </c>
      <c r="I1069" t="n">
        <v>8</v>
      </c>
      <c r="J1069" t="n">
        <v>3</v>
      </c>
      <c r="K1069" t="n">
        <v>151</v>
      </c>
      <c r="L1069" t="inlineStr">
        <is>
          <t>Primary</t>
        </is>
      </c>
    </row>
    <row r="1070">
      <c r="A1070" t="n">
        <v>4</v>
      </c>
      <c r="B1070" s="27" t="inlineStr">
        <is>
          <t>S07</t>
        </is>
      </c>
      <c r="C1070" t="inlineStr">
        <is>
          <t>PZ-B</t>
        </is>
      </c>
      <c r="D1070" t="n">
        <v>11</v>
      </c>
      <c r="E1070" t="inlineStr">
        <is>
          <t>H0684</t>
        </is>
      </c>
      <c r="F1070" t="inlineStr">
        <is>
          <t>桃園市楊梅區中山北路一段390巷50號-陽明國小校門口對面</t>
        </is>
      </c>
      <c r="G1070" t="n">
        <v>24.911229</v>
      </c>
      <c r="H1070" t="n">
        <v>121.1584955</v>
      </c>
      <c r="I1070" t="n">
        <v>16</v>
      </c>
      <c r="J1070" t="n">
        <v>4.4</v>
      </c>
      <c r="K1070" t="n">
        <v>171.3</v>
      </c>
      <c r="L1070" t="inlineStr">
        <is>
          <t>Primary</t>
        </is>
      </c>
    </row>
    <row r="1071">
      <c r="A1071" t="n">
        <v>4</v>
      </c>
      <c r="B1071" s="27" t="inlineStr">
        <is>
          <t>S07</t>
        </is>
      </c>
      <c r="C1071" t="inlineStr">
        <is>
          <t>PZ-B</t>
        </is>
      </c>
      <c r="D1071" t="n">
        <v>12</v>
      </c>
      <c r="E1071" t="inlineStr">
        <is>
          <t>H0776</t>
        </is>
      </c>
      <c r="F1071" t="inlineStr">
        <is>
          <t>桃園市楊梅區環南路263巷</t>
        </is>
      </c>
      <c r="G1071" t="n">
        <v>24.903269</v>
      </c>
      <c r="H1071" t="n">
        <v>121.144411</v>
      </c>
      <c r="I1071" t="n">
        <v>8</v>
      </c>
      <c r="J1071" t="n">
        <v>4</v>
      </c>
      <c r="K1071" t="n">
        <v>183.4</v>
      </c>
      <c r="L1071" t="inlineStr">
        <is>
          <t>Primary</t>
        </is>
      </c>
    </row>
    <row r="1072">
      <c r="A1072" t="n">
        <v>4</v>
      </c>
      <c r="B1072" s="27" t="inlineStr">
        <is>
          <t>S07</t>
        </is>
      </c>
      <c r="C1072" t="inlineStr">
        <is>
          <t>PZ-B</t>
        </is>
      </c>
      <c r="D1072" t="n">
        <v>13</v>
      </c>
      <c r="E1072" t="inlineStr">
        <is>
          <t>H0777</t>
        </is>
      </c>
      <c r="F1072" t="inlineStr">
        <is>
          <t>桃園市楊梅區環南路263號</t>
        </is>
      </c>
      <c r="G1072" t="n">
        <v>24.903181</v>
      </c>
      <c r="H1072" t="n">
        <v>121.144455</v>
      </c>
      <c r="I1072" t="n">
        <v>8</v>
      </c>
      <c r="J1072" t="n">
        <v>2</v>
      </c>
      <c r="K1072" t="n">
        <v>193.4</v>
      </c>
      <c r="L1072" t="inlineStr">
        <is>
          <t>Primary</t>
        </is>
      </c>
    </row>
    <row r="1073">
      <c r="A1073" t="n">
        <v>4</v>
      </c>
      <c r="B1073" s="27" t="inlineStr">
        <is>
          <t>S07</t>
        </is>
      </c>
      <c r="C1073" t="inlineStr">
        <is>
          <t>PZ-B</t>
        </is>
      </c>
      <c r="D1073" t="n">
        <v>14</v>
      </c>
      <c r="E1073" t="inlineStr">
        <is>
          <t>H0749</t>
        </is>
      </c>
      <c r="F1073" t="inlineStr">
        <is>
          <t>桃園市楊梅區新江路155巷92弄附近</t>
        </is>
      </c>
      <c r="G1073" t="n">
        <v>24.893702</v>
      </c>
      <c r="H1073" t="n">
        <v>121.139636</v>
      </c>
      <c r="I1073" t="n">
        <v>8</v>
      </c>
      <c r="J1073" t="n">
        <v>3</v>
      </c>
      <c r="K1073" t="n">
        <v>204.4</v>
      </c>
      <c r="L1073" t="inlineStr">
        <is>
          <t>Primary</t>
        </is>
      </c>
    </row>
    <row r="1074">
      <c r="A1074" t="n">
        <v>4</v>
      </c>
      <c r="B1074" s="27" t="inlineStr">
        <is>
          <t>S07</t>
        </is>
      </c>
      <c r="C1074" t="inlineStr">
        <is>
          <t>PZ-B</t>
        </is>
      </c>
      <c r="D1074" t="n">
        <v>15</v>
      </c>
      <c r="E1074" t="inlineStr">
        <is>
          <t>H0726</t>
        </is>
      </c>
      <c r="F1074" t="inlineStr">
        <is>
          <t>桃園市楊梅區校前路411號(新江路山上)</t>
        </is>
      </c>
      <c r="G1074" t="n">
        <v>24.888152</v>
      </c>
      <c r="H1074" t="n">
        <v>121.146497</v>
      </c>
      <c r="I1074" t="n">
        <v>8</v>
      </c>
      <c r="J1074" t="n">
        <v>3</v>
      </c>
      <c r="K1074" t="n">
        <v>215.4</v>
      </c>
      <c r="L1074" t="inlineStr">
        <is>
          <t>Primary</t>
        </is>
      </c>
    </row>
    <row r="1075">
      <c r="A1075" t="n">
        <v>4</v>
      </c>
      <c r="B1075" s="27" t="inlineStr">
        <is>
          <t>S07</t>
        </is>
      </c>
      <c r="C1075" t="inlineStr">
        <is>
          <t>PZ-B</t>
        </is>
      </c>
      <c r="D1075" t="n">
        <v>16</v>
      </c>
      <c r="E1075" t="inlineStr">
        <is>
          <t>H0729</t>
        </is>
      </c>
      <c r="F1075" t="inlineStr">
        <is>
          <t>桃園市楊梅區甡甡路625號</t>
        </is>
      </c>
      <c r="G1075" t="n">
        <v>24.891764</v>
      </c>
      <c r="H1075" t="n">
        <v>121.126759</v>
      </c>
      <c r="I1075" t="n">
        <v>8</v>
      </c>
      <c r="J1075" t="n">
        <v>4.9</v>
      </c>
      <c r="K1075" t="n">
        <v>228.2</v>
      </c>
      <c r="L1075" t="inlineStr">
        <is>
          <t>Primary</t>
        </is>
      </c>
    </row>
    <row r="1076">
      <c r="A1076" t="n">
        <v>4</v>
      </c>
      <c r="B1076" s="27" t="inlineStr">
        <is>
          <t>S07</t>
        </is>
      </c>
      <c r="C1076" t="inlineStr">
        <is>
          <t>PZ-B</t>
        </is>
      </c>
      <c r="D1076" t="n">
        <v>17</v>
      </c>
      <c r="E1076" t="inlineStr">
        <is>
          <t>H0730</t>
        </is>
      </c>
      <c r="F1076" t="inlineStr">
        <is>
          <t>桃園市楊梅區甡甡路693巷62號</t>
        </is>
      </c>
      <c r="G1076" t="n">
        <v>24.890601</v>
      </c>
      <c r="H1076" t="n">
        <v>121.125599</v>
      </c>
      <c r="I1076" t="n">
        <v>16</v>
      </c>
      <c r="J1076" t="n">
        <v>3</v>
      </c>
      <c r="K1076" t="n">
        <v>247.2</v>
      </c>
      <c r="L1076" t="inlineStr">
        <is>
          <t>Primary</t>
        </is>
      </c>
    </row>
    <row r="1077">
      <c r="A1077" t="n">
        <v>4</v>
      </c>
      <c r="B1077" s="27" t="inlineStr">
        <is>
          <t>S07</t>
        </is>
      </c>
      <c r="C1077" t="inlineStr">
        <is>
          <t>PZ-B</t>
        </is>
      </c>
      <c r="D1077" t="n">
        <v>18</v>
      </c>
      <c r="E1077" t="inlineStr">
        <is>
          <t>H0685</t>
        </is>
      </c>
      <c r="F1077" t="inlineStr">
        <is>
          <t>桃園市楊梅區中山南路800巷98弄12號(小路山上)</t>
        </is>
      </c>
      <c r="G1077" t="n">
        <v>24.900678</v>
      </c>
      <c r="H1077" t="n">
        <v>121.108086</v>
      </c>
      <c r="I1077" t="n">
        <v>8</v>
      </c>
      <c r="J1077" t="n">
        <v>5</v>
      </c>
      <c r="K1077" t="n">
        <v>260.2</v>
      </c>
      <c r="L1077" t="inlineStr">
        <is>
          <t>Primary</t>
        </is>
      </c>
    </row>
    <row r="1078">
      <c r="A1078" t="n">
        <v>4</v>
      </c>
      <c r="B1078" s="27" t="inlineStr">
        <is>
          <t>S07</t>
        </is>
      </c>
      <c r="C1078" t="inlineStr">
        <is>
          <t>PZ-B</t>
        </is>
      </c>
      <c r="D1078" t="n">
        <v>19</v>
      </c>
      <c r="E1078" t="inlineStr">
        <is>
          <t>H0766</t>
        </is>
      </c>
      <c r="F1078" t="inlineStr">
        <is>
          <t>桃園市楊梅區楊湖路二段615巷-24°54'30.1"N 121°06'22.0"E</t>
        </is>
      </c>
      <c r="G1078" t="n">
        <v>24.908467</v>
      </c>
      <c r="H1078" t="n">
        <v>121.106047</v>
      </c>
      <c r="I1078" t="n">
        <v>8</v>
      </c>
      <c r="J1078" t="n">
        <v>3</v>
      </c>
      <c r="K1078" t="n">
        <v>271.2</v>
      </c>
      <c r="L1078" t="inlineStr">
        <is>
          <t>Primary</t>
        </is>
      </c>
    </row>
    <row r="1079">
      <c r="A1079" t="n">
        <v>4</v>
      </c>
      <c r="B1079" s="27" t="inlineStr">
        <is>
          <t>S07</t>
        </is>
      </c>
      <c r="C1079" t="inlineStr">
        <is>
          <t>PZ-B</t>
        </is>
      </c>
      <c r="D1079" t="n">
        <v>20</v>
      </c>
      <c r="E1079" t="inlineStr">
        <is>
          <t>H0727</t>
        </is>
      </c>
      <c r="F1079" t="inlineStr">
        <is>
          <t>桃園市楊梅區泰圳路200巷221號旁組合屋旁</t>
        </is>
      </c>
      <c r="G1079" t="n">
        <v>24.909686</v>
      </c>
      <c r="H1079" t="n">
        <v>121.105739</v>
      </c>
      <c r="I1079" t="n">
        <v>8</v>
      </c>
      <c r="J1079" t="n">
        <v>3</v>
      </c>
      <c r="K1079" t="n">
        <v>282.2</v>
      </c>
      <c r="L1079" t="inlineStr">
        <is>
          <t>Primary</t>
        </is>
      </c>
    </row>
    <row r="1080">
      <c r="A1080" t="n">
        <v>4</v>
      </c>
      <c r="B1080" s="27" t="inlineStr">
        <is>
          <t>S07</t>
        </is>
      </c>
      <c r="C1080" t="inlineStr">
        <is>
          <t>PZ-B</t>
        </is>
      </c>
      <c r="D1080" t="n">
        <v>21</v>
      </c>
      <c r="E1080" t="inlineStr">
        <is>
          <t>H0728</t>
        </is>
      </c>
      <c r="F1080" t="inlineStr">
        <is>
          <t>桃園市楊梅區泰圳路與雅典路口(楊湖區)</t>
        </is>
      </c>
      <c r="G1080" t="n">
        <v>24.907708</v>
      </c>
      <c r="H1080" t="n">
        <v>121.115539</v>
      </c>
      <c r="I1080" t="n">
        <v>16</v>
      </c>
      <c r="J1080" t="n">
        <v>3</v>
      </c>
      <c r="K1080" t="n">
        <v>301.2</v>
      </c>
      <c r="L1080" t="inlineStr">
        <is>
          <t>Primary</t>
        </is>
      </c>
    </row>
    <row r="1081">
      <c r="A1081" t="n">
        <v>4</v>
      </c>
      <c r="B1081" s="27" t="inlineStr">
        <is>
          <t>S07</t>
        </is>
      </c>
      <c r="C1081" t="inlineStr">
        <is>
          <t>PZ-B</t>
        </is>
      </c>
      <c r="D1081" t="n">
        <v>22</v>
      </c>
      <c r="E1081" t="inlineStr">
        <is>
          <t>H0763</t>
        </is>
      </c>
      <c r="F1081" t="inlineStr">
        <is>
          <t>桃園市楊梅區楊湖路一段425巷211號-追加</t>
        </is>
      </c>
      <c r="G1081" t="n">
        <v>24.910403</v>
      </c>
      <c r="H1081" t="n">
        <v>121.128059</v>
      </c>
      <c r="I1081" t="n">
        <v>8</v>
      </c>
      <c r="J1081" t="n">
        <v>3.1</v>
      </c>
      <c r="K1081" t="n">
        <v>312.4</v>
      </c>
      <c r="L1081" t="inlineStr">
        <is>
          <t>Primary</t>
        </is>
      </c>
    </row>
    <row r="1082">
      <c r="A1082" t="n">
        <v>4</v>
      </c>
      <c r="B1082" s="27" t="inlineStr">
        <is>
          <t>S07</t>
        </is>
      </c>
      <c r="C1082" t="inlineStr">
        <is>
          <t>PZ-B</t>
        </is>
      </c>
      <c r="D1082" t="n">
        <v>23</v>
      </c>
      <c r="E1082" t="inlineStr">
        <is>
          <t>H0762</t>
        </is>
      </c>
      <c r="F1082" t="inlineStr">
        <is>
          <t>桃園市楊梅區楊湖路一段425巷211號</t>
        </is>
      </c>
      <c r="G1082" t="n">
        <v>24.909744</v>
      </c>
      <c r="H1082" t="n">
        <v>121.128723</v>
      </c>
      <c r="I1082" t="n">
        <v>8</v>
      </c>
      <c r="J1082" t="n">
        <v>2</v>
      </c>
      <c r="K1082" t="n">
        <v>322.4</v>
      </c>
      <c r="L1082" t="inlineStr">
        <is>
          <t>Primary</t>
        </is>
      </c>
    </row>
    <row r="1083">
      <c r="A1083" t="n">
        <v>4</v>
      </c>
      <c r="B1083" s="27" t="inlineStr">
        <is>
          <t>S07</t>
        </is>
      </c>
      <c r="C1083" t="inlineStr">
        <is>
          <t>PZ-B</t>
        </is>
      </c>
      <c r="D1083" t="n">
        <v>24</v>
      </c>
      <c r="E1083" t="inlineStr">
        <is>
          <t>H0759</t>
        </is>
      </c>
      <c r="F1083" t="inlineStr">
        <is>
          <t>桃園市楊梅區楊湖路一段239巷56號</t>
        </is>
      </c>
      <c r="G1083" t="n">
        <v>24.909306</v>
      </c>
      <c r="H1083" t="n">
        <v>121.134147</v>
      </c>
      <c r="I1083" t="n">
        <v>8</v>
      </c>
      <c r="J1083" t="n">
        <v>3</v>
      </c>
      <c r="K1083" t="n">
        <v>333.4</v>
      </c>
      <c r="L1083" t="inlineStr">
        <is>
          <t>Primary</t>
        </is>
      </c>
    </row>
    <row r="1084">
      <c r="A1084" t="n">
        <v>4</v>
      </c>
      <c r="B1084" s="27" t="inlineStr">
        <is>
          <t>S07</t>
        </is>
      </c>
      <c r="C1084" t="inlineStr">
        <is>
          <t>PZ-B</t>
        </is>
      </c>
      <c r="D1084" t="n">
        <v>25</v>
      </c>
      <c r="E1084" t="inlineStr">
        <is>
          <t>H0692</t>
        </is>
      </c>
      <c r="F1084" t="inlineStr">
        <is>
          <t>桃園市楊梅區民安路2巷100弄100號</t>
        </is>
      </c>
      <c r="G1084" t="n">
        <v>24.926386</v>
      </c>
      <c r="H1084" t="n">
        <v>121.100236</v>
      </c>
      <c r="I1084" t="n">
        <v>8</v>
      </c>
      <c r="J1084" t="n">
        <v>9.4</v>
      </c>
      <c r="K1084" t="n">
        <v>350.7</v>
      </c>
      <c r="L1084" t="inlineStr">
        <is>
          <t>Primary</t>
        </is>
      </c>
    </row>
    <row r="1085">
      <c r="A1085" t="n">
        <v>4</v>
      </c>
      <c r="B1085" s="27" t="inlineStr">
        <is>
          <t>S07</t>
        </is>
      </c>
      <c r="C1085" t="inlineStr">
        <is>
          <t>PZ-B</t>
        </is>
      </c>
      <c r="D1085" t="n">
        <v>26</v>
      </c>
      <c r="E1085" t="inlineStr">
        <is>
          <t>H0722</t>
        </is>
      </c>
      <c r="F1085" t="inlineStr">
        <is>
          <t>桃園市楊梅區員本路53號旁</t>
        </is>
      </c>
      <c r="G1085" t="n">
        <v>24.935269</v>
      </c>
      <c r="H1085" t="n">
        <v>121.094614</v>
      </c>
      <c r="I1085" t="n">
        <v>8</v>
      </c>
      <c r="J1085" t="n">
        <v>3</v>
      </c>
      <c r="K1085" t="n">
        <v>361.7</v>
      </c>
      <c r="L1085" t="inlineStr">
        <is>
          <t>Primary</t>
        </is>
      </c>
    </row>
    <row r="1086">
      <c r="A1086" t="n">
        <v>4</v>
      </c>
      <c r="B1086" s="27" t="inlineStr">
        <is>
          <t>S07</t>
        </is>
      </c>
      <c r="C1086" t="inlineStr">
        <is>
          <t>PZ-B</t>
        </is>
      </c>
      <c r="D1086" t="n">
        <v>27</v>
      </c>
      <c r="E1086" t="inlineStr">
        <is>
          <t>H0751</t>
        </is>
      </c>
      <c r="F1086" t="inlineStr">
        <is>
          <t>桃園市楊梅區新明街59號-富岡集義祠</t>
        </is>
      </c>
      <c r="G1086" t="n">
        <v>24.937752</v>
      </c>
      <c r="H1086" t="n">
        <v>121.081789</v>
      </c>
      <c r="I1086" t="n">
        <v>16</v>
      </c>
      <c r="J1086" t="n">
        <v>3.2</v>
      </c>
      <c r="K1086" t="n">
        <v>380.9</v>
      </c>
      <c r="L1086" t="inlineStr">
        <is>
          <t>Primary</t>
        </is>
      </c>
    </row>
    <row r="1087">
      <c r="A1087" t="n">
        <v>4</v>
      </c>
      <c r="B1087" s="27" t="inlineStr">
        <is>
          <t>S07</t>
        </is>
      </c>
      <c r="C1087" t="inlineStr">
        <is>
          <t>PZ-B</t>
        </is>
      </c>
      <c r="D1087" t="n">
        <v>28</v>
      </c>
      <c r="E1087" t="inlineStr">
        <is>
          <t>H0748</t>
        </is>
      </c>
      <c r="F1087" t="inlineStr">
        <is>
          <t>桃園市楊梅區富聯路352號對面</t>
        </is>
      </c>
      <c r="G1087" t="n">
        <v>24.939072</v>
      </c>
      <c r="H1087" t="n">
        <v>121.071742</v>
      </c>
      <c r="I1087" t="n">
        <v>8</v>
      </c>
      <c r="J1087" t="n">
        <v>3</v>
      </c>
      <c r="K1087" t="n">
        <v>391.9</v>
      </c>
      <c r="L1087" t="inlineStr">
        <is>
          <t>Primary</t>
        </is>
      </c>
    </row>
    <row r="1088">
      <c r="A1088" t="n">
        <v>4</v>
      </c>
      <c r="B1088" s="27" t="inlineStr">
        <is>
          <t>S07</t>
        </is>
      </c>
      <c r="C1088" t="inlineStr">
        <is>
          <t>PZ-B</t>
        </is>
      </c>
      <c r="D1088" t="n">
        <v>29</v>
      </c>
      <c r="E1088" t="inlineStr">
        <is>
          <t>H0693</t>
        </is>
      </c>
      <c r="F1088" t="inlineStr">
        <is>
          <t>桃園市楊梅區民有一路267號對面工地</t>
        </is>
      </c>
      <c r="G1088" t="n">
        <v>24.948769</v>
      </c>
      <c r="H1088" t="n">
        <v>121.079398</v>
      </c>
      <c r="I1088" t="n">
        <v>16</v>
      </c>
      <c r="J1088" t="n">
        <v>3.2</v>
      </c>
      <c r="K1088" t="n">
        <v>411.1</v>
      </c>
      <c r="L1088" t="inlineStr">
        <is>
          <t>Primary</t>
        </is>
      </c>
    </row>
    <row r="1089">
      <c r="A1089" t="n">
        <v>4</v>
      </c>
      <c r="B1089" s="27" t="inlineStr">
        <is>
          <t>S07</t>
        </is>
      </c>
      <c r="C1089" t="inlineStr">
        <is>
          <t>PZ-B</t>
        </is>
      </c>
      <c r="D1089" t="n">
        <v>30</v>
      </c>
      <c r="E1089" t="inlineStr">
        <is>
          <t>H0644</t>
        </is>
      </c>
      <c r="F1089" t="inlineStr">
        <is>
          <t>桃園市新屋區社福路501巷</t>
        </is>
      </c>
      <c r="G1089" t="n">
        <v>24.95891</v>
      </c>
      <c r="H1089" t="n">
        <v>121.074263</v>
      </c>
      <c r="I1089" t="n">
        <v>16</v>
      </c>
      <c r="J1089" t="n">
        <v>3</v>
      </c>
      <c r="K1089" t="n">
        <v>430.1</v>
      </c>
      <c r="L1089" t="inlineStr">
        <is>
          <t>Primary</t>
        </is>
      </c>
    </row>
    <row r="1090">
      <c r="A1090" t="n">
        <v>4</v>
      </c>
      <c r="B1090" s="27" t="inlineStr">
        <is>
          <t>S07</t>
        </is>
      </c>
      <c r="C1090" t="inlineStr">
        <is>
          <t>PZ-B</t>
        </is>
      </c>
      <c r="D1090" t="n">
        <v>31</v>
      </c>
      <c r="E1090" t="inlineStr">
        <is>
          <t>H0630</t>
        </is>
      </c>
      <c r="F1090" t="inlineStr">
        <is>
          <t>桃園市新屋區中山西路一段173巷43弄88號(艾力豪幼兒園)</t>
        </is>
      </c>
      <c r="G1090" t="n">
        <v>24.973586</v>
      </c>
      <c r="H1090" t="n">
        <v>121.093866</v>
      </c>
      <c r="I1090" t="n">
        <v>8</v>
      </c>
      <c r="J1090" t="n">
        <v>6.2</v>
      </c>
      <c r="K1090" t="n">
        <v>444.3</v>
      </c>
      <c r="L1090" t="inlineStr">
        <is>
          <t>Primary</t>
        </is>
      </c>
    </row>
    <row r="1091">
      <c r="A1091" t="n">
        <v>4</v>
      </c>
      <c r="B1091" s="27" t="inlineStr">
        <is>
          <t>S07</t>
        </is>
      </c>
      <c r="C1091" t="inlineStr">
        <is>
          <t>PZ-B</t>
        </is>
      </c>
      <c r="D1091" t="n">
        <v>32</v>
      </c>
      <c r="E1091" t="inlineStr">
        <is>
          <t>H0629</t>
        </is>
      </c>
      <c r="F1091" t="inlineStr">
        <is>
          <t>桃園市新屋區三民路605巷89號旁</t>
        </is>
      </c>
      <c r="G1091" t="n">
        <v>24.972009</v>
      </c>
      <c r="H1091" t="n">
        <v>121.097955</v>
      </c>
      <c r="I1091" t="n">
        <v>8</v>
      </c>
      <c r="J1091" t="n">
        <v>3</v>
      </c>
      <c r="K1091" t="n">
        <v>455.3</v>
      </c>
      <c r="L1091" t="inlineStr">
        <is>
          <t>Primary</t>
        </is>
      </c>
    </row>
    <row r="1092">
      <c r="A1092" t="n">
        <v>4</v>
      </c>
      <c r="B1092" s="27" t="inlineStr">
        <is>
          <t>S07</t>
        </is>
      </c>
      <c r="C1092" t="inlineStr">
        <is>
          <t>PZ-B</t>
        </is>
      </c>
      <c r="D1092" t="n">
        <v>33</v>
      </c>
      <c r="E1092" t="inlineStr">
        <is>
          <t>H0628</t>
        </is>
      </c>
      <c r="F1092" t="inlineStr">
        <is>
          <t>桃園市新屋區三民路529號旁巷子</t>
        </is>
      </c>
      <c r="G1092" t="n">
        <v>24.971</v>
      </c>
      <c r="H1092" t="n">
        <v>121.099083</v>
      </c>
      <c r="I1092" t="n">
        <v>8</v>
      </c>
      <c r="J1092" t="n">
        <v>3</v>
      </c>
      <c r="K1092" t="n">
        <v>466.3</v>
      </c>
      <c r="L1092" t="inlineStr">
        <is>
          <t>Primary</t>
        </is>
      </c>
    </row>
    <row r="1093">
      <c r="A1093" t="n">
        <v>4</v>
      </c>
      <c r="B1093" s="27" t="inlineStr">
        <is>
          <t>S07</t>
        </is>
      </c>
      <c r="C1093" t="inlineStr">
        <is>
          <t>PZ-B</t>
        </is>
      </c>
      <c r="D1093" t="n">
        <v>34</v>
      </c>
      <c r="E1093" t="inlineStr">
        <is>
          <t>H0678</t>
        </is>
      </c>
      <c r="F1093" t="inlineStr">
        <is>
          <t>桃園市新屋區福德街109號旁</t>
        </is>
      </c>
      <c r="G1093" t="n">
        <v>24.972134</v>
      </c>
      <c r="H1093" t="n">
        <v>121.104419</v>
      </c>
      <c r="I1093" t="n">
        <v>8</v>
      </c>
      <c r="J1093" t="n">
        <v>3</v>
      </c>
      <c r="K1093" t="n">
        <v>477.3</v>
      </c>
      <c r="L1093" t="inlineStr">
        <is>
          <t>Primary</t>
        </is>
      </c>
    </row>
    <row r="1094">
      <c r="A1094" t="n">
        <v>4</v>
      </c>
      <c r="B1094" s="27" t="inlineStr">
        <is>
          <t>S07</t>
        </is>
      </c>
      <c r="C1094" t="inlineStr">
        <is>
          <t>PZ-B</t>
        </is>
      </c>
      <c r="D1094" t="n">
        <v>35</v>
      </c>
      <c r="E1094" t="inlineStr">
        <is>
          <t>H0669</t>
        </is>
      </c>
      <c r="F1094" t="inlineStr">
        <is>
          <t>桃園市新屋區新生二街11號</t>
        </is>
      </c>
      <c r="G1094" t="n">
        <v>24.974714</v>
      </c>
      <c r="H1094" t="n">
        <v>121.104389</v>
      </c>
      <c r="I1094" t="n">
        <v>8</v>
      </c>
      <c r="J1094" t="n">
        <v>3</v>
      </c>
      <c r="K1094" t="n">
        <v>488.3</v>
      </c>
      <c r="L1094" t="inlineStr">
        <is>
          <t>Primary</t>
        </is>
      </c>
    </row>
    <row r="1095">
      <c r="A1095" t="n">
        <v>4</v>
      </c>
      <c r="B1095" s="27" t="inlineStr">
        <is>
          <t>S07</t>
        </is>
      </c>
      <c r="C1095" t="inlineStr">
        <is>
          <t>PZ-B</t>
        </is>
      </c>
      <c r="D1095" t="n">
        <v>36</v>
      </c>
      <c r="E1095" t="inlineStr">
        <is>
          <t>H0670</t>
        </is>
      </c>
      <c r="F1095" t="inlineStr">
        <is>
          <t>桃園市新屋區新生三街88號旁工地</t>
        </is>
      </c>
      <c r="G1095" t="n">
        <v>24.975595</v>
      </c>
      <c r="H1095" t="n">
        <v>121.104867</v>
      </c>
      <c r="I1095" t="n">
        <v>8</v>
      </c>
      <c r="J1095" t="n">
        <v>3</v>
      </c>
      <c r="K1095" t="n">
        <v>499.3</v>
      </c>
      <c r="L1095" t="inlineStr">
        <is>
          <t>Primary</t>
        </is>
      </c>
    </row>
    <row r="1096">
      <c r="A1096" t="n">
        <v>4</v>
      </c>
      <c r="B1096" s="27" t="inlineStr">
        <is>
          <t>S07</t>
        </is>
      </c>
      <c r="C1096" t="inlineStr">
        <is>
          <t>PZ-B</t>
        </is>
      </c>
      <c r="D1096" t="n">
        <v>37</v>
      </c>
      <c r="E1096" t="inlineStr">
        <is>
          <t>H0631</t>
        </is>
      </c>
      <c r="F1096" t="inlineStr">
        <is>
          <t>桃園市新屋區中興北路207號旁工務所</t>
        </is>
      </c>
      <c r="G1096" t="n">
        <v>24.9769435</v>
      </c>
      <c r="H1096" t="n">
        <v>121.104743</v>
      </c>
      <c r="I1096" t="n">
        <v>16</v>
      </c>
      <c r="J1096" t="n">
        <v>3</v>
      </c>
      <c r="K1096" t="n">
        <v>518.3</v>
      </c>
      <c r="L1096" t="inlineStr">
        <is>
          <t>Primary</t>
        </is>
      </c>
    </row>
    <row r="1097">
      <c r="A1097" t="n">
        <v>5</v>
      </c>
      <c r="B1097" s="27" t="inlineStr">
        <is>
          <t>S07</t>
        </is>
      </c>
      <c r="C1097" t="inlineStr">
        <is>
          <t>PZ-B</t>
        </is>
      </c>
      <c r="D1097" t="n">
        <v>1</v>
      </c>
      <c r="E1097" t="inlineStr">
        <is>
          <t>H0417</t>
        </is>
      </c>
      <c r="F1097" t="inlineStr">
        <is>
          <t>桃園市中壢區建國路36號(中壢郵局)-6F-電聯定位</t>
        </is>
      </c>
      <c r="G1097" t="n">
        <v>24.955194</v>
      </c>
      <c r="H1097" t="n">
        <v>121.225164</v>
      </c>
      <c r="I1097" t="n">
        <v>17</v>
      </c>
      <c r="J1097" t="n">
        <v>12.9</v>
      </c>
      <c r="K1097" t="n">
        <v>29.9</v>
      </c>
      <c r="L1097" t="inlineStr">
        <is>
          <t>Primary</t>
        </is>
      </c>
    </row>
    <row r="1098">
      <c r="A1098" t="n">
        <v>5</v>
      </c>
      <c r="B1098" s="27" t="inlineStr">
        <is>
          <t>S07</t>
        </is>
      </c>
      <c r="C1098" t="inlineStr">
        <is>
          <t>PZ-B</t>
        </is>
      </c>
      <c r="D1098" t="n">
        <v>2</v>
      </c>
      <c r="E1098" t="inlineStr">
        <is>
          <t>H0346</t>
        </is>
      </c>
      <c r="F1098" t="inlineStr">
        <is>
          <t>桃園市中壢區中美路二段84號</t>
        </is>
      </c>
      <c r="G1098" t="n">
        <v>24.959869</v>
      </c>
      <c r="H1098" t="n">
        <v>121.222056</v>
      </c>
      <c r="I1098" t="n">
        <v>8</v>
      </c>
      <c r="J1098" t="n">
        <v>3</v>
      </c>
      <c r="K1098" t="n">
        <v>40.9</v>
      </c>
      <c r="L1098" t="inlineStr">
        <is>
          <t>Primary</t>
        </is>
      </c>
    </row>
    <row r="1099">
      <c r="A1099" t="n">
        <v>5</v>
      </c>
      <c r="B1099" s="27" t="inlineStr">
        <is>
          <t>S07</t>
        </is>
      </c>
      <c r="C1099" t="inlineStr">
        <is>
          <t>PZ-B</t>
        </is>
      </c>
      <c r="D1099" t="n">
        <v>3</v>
      </c>
      <c r="E1099" t="inlineStr">
        <is>
          <t>H0477</t>
        </is>
      </c>
      <c r="F1099" t="inlineStr">
        <is>
          <t>桃園市中壢區環北路71號-電聯定位</t>
        </is>
      </c>
      <c r="G1099" t="n">
        <v>24.966269</v>
      </c>
      <c r="H1099" t="n">
        <v>121.217156</v>
      </c>
      <c r="I1099" t="n">
        <v>8</v>
      </c>
      <c r="J1099" t="n">
        <v>3</v>
      </c>
      <c r="K1099" t="n">
        <v>51.9</v>
      </c>
      <c r="L1099" t="inlineStr">
        <is>
          <t>Primary</t>
        </is>
      </c>
    </row>
    <row r="1100">
      <c r="A1100" t="n">
        <v>5</v>
      </c>
      <c r="B1100" s="27" t="inlineStr">
        <is>
          <t>S07</t>
        </is>
      </c>
      <c r="C1100" t="inlineStr">
        <is>
          <t>PZ-B</t>
        </is>
      </c>
      <c r="D1100" t="n">
        <v>4</v>
      </c>
      <c r="E1100" t="inlineStr">
        <is>
          <t>H0444</t>
        </is>
      </c>
      <c r="F1100" t="inlineStr">
        <is>
          <t>桃園市中壢區新生路552號巷口附近-電聯定位</t>
        </is>
      </c>
      <c r="G1100" t="n">
        <v>24.970556</v>
      </c>
      <c r="H1100" t="n">
        <v>121.216945</v>
      </c>
      <c r="I1100" t="n">
        <v>8</v>
      </c>
      <c r="J1100" t="n">
        <v>3</v>
      </c>
      <c r="K1100" t="n">
        <v>62.9</v>
      </c>
      <c r="L1100" t="inlineStr">
        <is>
          <t>Primary</t>
        </is>
      </c>
    </row>
    <row r="1101">
      <c r="A1101" t="n">
        <v>5</v>
      </c>
      <c r="B1101" s="27" t="inlineStr">
        <is>
          <t>S07</t>
        </is>
      </c>
      <c r="C1101" t="inlineStr">
        <is>
          <t>PZ-B</t>
        </is>
      </c>
      <c r="D1101" t="n">
        <v>5</v>
      </c>
      <c r="E1101" t="inlineStr">
        <is>
          <t>H0428</t>
        </is>
      </c>
      <c r="F1101" t="inlineStr">
        <is>
          <t>桃園市中壢區培英路100號旁</t>
        </is>
      </c>
      <c r="G1101" t="n">
        <v>24.973581</v>
      </c>
      <c r="H1101" t="n">
        <v>121.224786</v>
      </c>
      <c r="I1101" t="n">
        <v>8</v>
      </c>
      <c r="J1101" t="n">
        <v>3</v>
      </c>
      <c r="K1101" t="n">
        <v>73.90000000000001</v>
      </c>
      <c r="L1101" t="inlineStr">
        <is>
          <t>Primary</t>
        </is>
      </c>
    </row>
    <row r="1102">
      <c r="A1102" t="n">
        <v>5</v>
      </c>
      <c r="B1102" s="27" t="inlineStr">
        <is>
          <t>S07</t>
        </is>
      </c>
      <c r="C1102" t="inlineStr">
        <is>
          <t>PZ-B</t>
        </is>
      </c>
      <c r="D1102" t="n">
        <v>6</v>
      </c>
      <c r="E1102" t="inlineStr">
        <is>
          <t>H0350</t>
        </is>
      </c>
      <c r="F1102" t="inlineStr">
        <is>
          <t>桃園市中壢區中福路349巷67弄15號附近</t>
        </is>
      </c>
      <c r="G1102" t="n">
        <v>24.96876866666667</v>
      </c>
      <c r="H1102" t="n">
        <v>121.2272353333333</v>
      </c>
      <c r="I1102" t="n">
        <v>29</v>
      </c>
      <c r="J1102" t="n">
        <v>3</v>
      </c>
      <c r="K1102" t="n">
        <v>105.9</v>
      </c>
      <c r="L1102" t="inlineStr">
        <is>
          <t>Primary</t>
        </is>
      </c>
    </row>
    <row r="1103">
      <c r="A1103" t="n">
        <v>5</v>
      </c>
      <c r="B1103" s="27" t="inlineStr">
        <is>
          <t>S07</t>
        </is>
      </c>
      <c r="C1103" t="inlineStr">
        <is>
          <t>PZ-B</t>
        </is>
      </c>
      <c r="D1103" t="n">
        <v>7</v>
      </c>
      <c r="E1103" t="inlineStr">
        <is>
          <t>H0443</t>
        </is>
      </c>
      <c r="F1103" t="inlineStr">
        <is>
          <t>桃園市中壢區新生路548巷工地大門-帶到中福路舊停車場</t>
        </is>
      </c>
      <c r="G1103" t="n">
        <v>24.971409</v>
      </c>
      <c r="H1103" t="n">
        <v>121.231461</v>
      </c>
      <c r="I1103" t="n">
        <v>8</v>
      </c>
      <c r="J1103" t="n">
        <v>3</v>
      </c>
      <c r="K1103" t="n">
        <v>116.9</v>
      </c>
      <c r="L1103" t="inlineStr">
        <is>
          <t>Primary</t>
        </is>
      </c>
    </row>
    <row r="1104">
      <c r="A1104" t="n">
        <v>5</v>
      </c>
      <c r="B1104" s="27" t="inlineStr">
        <is>
          <t>S07</t>
        </is>
      </c>
      <c r="C1104" t="inlineStr">
        <is>
          <t>PZ-B</t>
        </is>
      </c>
      <c r="D1104" t="n">
        <v>8</v>
      </c>
      <c r="E1104" t="inlineStr">
        <is>
          <t>H0415</t>
        </is>
      </c>
      <c r="F1104" t="inlineStr">
        <is>
          <t>桃園市中壢區南園二路1號</t>
        </is>
      </c>
      <c r="G1104" t="n">
        <v>24.97160375</v>
      </c>
      <c r="H1104" t="n">
        <v>121.2390745</v>
      </c>
      <c r="I1104" t="n">
        <v>32</v>
      </c>
      <c r="J1104" t="n">
        <v>3</v>
      </c>
      <c r="K1104" t="n">
        <v>151.9</v>
      </c>
      <c r="L1104" t="inlineStr">
        <is>
          <t>Primary</t>
        </is>
      </c>
    </row>
    <row r="1105">
      <c r="A1105" t="n">
        <v>5</v>
      </c>
      <c r="B1105" s="27" t="inlineStr">
        <is>
          <t>S07</t>
        </is>
      </c>
      <c r="C1105" t="inlineStr">
        <is>
          <t>PZ-B</t>
        </is>
      </c>
      <c r="D1105" t="n">
        <v>9</v>
      </c>
      <c r="E1105" t="inlineStr">
        <is>
          <t>H0388</t>
        </is>
      </c>
      <c r="F1105" t="inlineStr">
        <is>
          <t>桃園市中壢區自強四路8號</t>
        </is>
      </c>
      <c r="G1105" t="n">
        <v>24.972717</v>
      </c>
      <c r="H1105" t="n">
        <v>121.240005</v>
      </c>
      <c r="I1105" t="n">
        <v>8</v>
      </c>
      <c r="J1105" t="n">
        <v>3</v>
      </c>
      <c r="K1105" t="n">
        <v>162.9</v>
      </c>
      <c r="L1105" t="inlineStr">
        <is>
          <t>Primary</t>
        </is>
      </c>
    </row>
    <row r="1106">
      <c r="A1106" t="n">
        <v>5</v>
      </c>
      <c r="B1106" s="27" t="inlineStr">
        <is>
          <t>S07</t>
        </is>
      </c>
      <c r="C1106" t="inlineStr">
        <is>
          <t>PZ-B</t>
        </is>
      </c>
      <c r="D1106" t="n">
        <v>10</v>
      </c>
      <c r="E1106" t="inlineStr">
        <is>
          <t>H0395</t>
        </is>
      </c>
      <c r="F1106" t="inlineStr">
        <is>
          <t>桃園市中壢區東園路3號-台達電一廠</t>
        </is>
      </c>
      <c r="G1106" t="n">
        <v>24.9668555</v>
      </c>
      <c r="H1106" t="n">
        <v>121.2393675</v>
      </c>
      <c r="I1106" t="n">
        <v>32</v>
      </c>
      <c r="J1106" t="n">
        <v>3</v>
      </c>
      <c r="K1106" t="n">
        <v>197.9</v>
      </c>
      <c r="L1106" t="inlineStr">
        <is>
          <t>Primary</t>
        </is>
      </c>
    </row>
    <row r="1107">
      <c r="A1107" t="n">
        <v>5</v>
      </c>
      <c r="B1107" s="27" t="inlineStr">
        <is>
          <t>S07</t>
        </is>
      </c>
      <c r="C1107" t="inlineStr">
        <is>
          <t>PZ-B</t>
        </is>
      </c>
      <c r="D1107" t="n">
        <v>11</v>
      </c>
      <c r="E1107" t="inlineStr">
        <is>
          <t>H0433</t>
        </is>
      </c>
      <c r="F1107" t="inlineStr">
        <is>
          <t>桃園市中壢區普忠路&amp;中華路二段交叉口</t>
        </is>
      </c>
      <c r="G1107" t="n">
        <v>24.965392</v>
      </c>
      <c r="H1107" t="n">
        <v>121.242211</v>
      </c>
      <c r="I1107" t="n">
        <v>16</v>
      </c>
      <c r="J1107" t="n">
        <v>3</v>
      </c>
      <c r="K1107" t="n">
        <v>216.9</v>
      </c>
      <c r="L1107" t="inlineStr">
        <is>
          <t>Primary</t>
        </is>
      </c>
    </row>
    <row r="1108">
      <c r="A1108" t="n">
        <v>5</v>
      </c>
      <c r="B1108" s="27" t="inlineStr">
        <is>
          <t>S07</t>
        </is>
      </c>
      <c r="C1108" t="inlineStr">
        <is>
          <t>PZ-B</t>
        </is>
      </c>
      <c r="D1108" t="n">
        <v>12</v>
      </c>
      <c r="E1108" t="inlineStr">
        <is>
          <t>H0391</t>
        </is>
      </c>
      <c r="F1108" t="inlineStr">
        <is>
          <t>桃園市中壢區忠仁路33號-中原文創園區</t>
        </is>
      </c>
      <c r="G1108" t="n">
        <v>24.96142533333333</v>
      </c>
      <c r="H1108" t="n">
        <v>121.241782</v>
      </c>
      <c r="I1108" t="n">
        <v>24</v>
      </c>
      <c r="J1108" t="n">
        <v>3</v>
      </c>
      <c r="K1108" t="n">
        <v>243.9</v>
      </c>
      <c r="L1108" t="inlineStr">
        <is>
          <t>Primary</t>
        </is>
      </c>
    </row>
    <row r="1109">
      <c r="A1109" t="n">
        <v>5</v>
      </c>
      <c r="B1109" s="27" t="inlineStr">
        <is>
          <t>S07</t>
        </is>
      </c>
      <c r="C1109" t="inlineStr">
        <is>
          <t>PZ-B</t>
        </is>
      </c>
      <c r="D1109" t="n">
        <v>13</v>
      </c>
      <c r="E1109" t="inlineStr">
        <is>
          <t>H0393</t>
        </is>
      </c>
      <c r="F1109" t="inlineStr">
        <is>
          <t>桃園市中壢區忠信路5號</t>
        </is>
      </c>
      <c r="G1109" t="n">
        <v>24.961453</v>
      </c>
      <c r="H1109" t="n">
        <v>121.236405</v>
      </c>
      <c r="I1109" t="n">
        <v>16</v>
      </c>
      <c r="J1109" t="n">
        <v>3</v>
      </c>
      <c r="K1109" t="n">
        <v>262.9</v>
      </c>
      <c r="L1109" t="inlineStr">
        <is>
          <t>Primary</t>
        </is>
      </c>
    </row>
    <row r="1110">
      <c r="A1110" t="n">
        <v>5</v>
      </c>
      <c r="B1110" s="27" t="inlineStr">
        <is>
          <t>S07</t>
        </is>
      </c>
      <c r="C1110" t="inlineStr">
        <is>
          <t>PZ-B</t>
        </is>
      </c>
      <c r="D1110" t="n">
        <v>14</v>
      </c>
      <c r="E1110" t="inlineStr">
        <is>
          <t>H0339</t>
        </is>
      </c>
      <c r="F1110" t="inlineStr">
        <is>
          <t>桃園市中壢區中山東路一段232號232之2號</t>
        </is>
      </c>
      <c r="G1110" t="n">
        <v>24.956664</v>
      </c>
      <c r="H1110" t="n">
        <v>121.234519</v>
      </c>
      <c r="I1110" t="n">
        <v>16</v>
      </c>
      <c r="J1110" t="n">
        <v>3</v>
      </c>
      <c r="K1110" t="n">
        <v>281.9</v>
      </c>
      <c r="L1110" t="inlineStr">
        <is>
          <t>Primary</t>
        </is>
      </c>
    </row>
    <row r="1111">
      <c r="A1111" t="n">
        <v>5</v>
      </c>
      <c r="B1111" s="27" t="inlineStr">
        <is>
          <t>S07</t>
        </is>
      </c>
      <c r="C1111" t="inlineStr">
        <is>
          <t>PZ-B</t>
        </is>
      </c>
      <c r="D1111" t="n">
        <v>15</v>
      </c>
      <c r="E1111" t="inlineStr">
        <is>
          <t>H0339</t>
        </is>
      </c>
      <c r="F1111" t="inlineStr">
        <is>
          <t>桃園市中壢區中山東路一段232號232之2號</t>
        </is>
      </c>
      <c r="G1111" t="n">
        <v>24.9566901</v>
      </c>
      <c r="H1111" t="n">
        <v>121.2341765</v>
      </c>
      <c r="I1111" t="n">
        <v>16</v>
      </c>
      <c r="J1111" t="n">
        <v>2</v>
      </c>
      <c r="K1111" t="n">
        <v>299.9</v>
      </c>
      <c r="L1111" t="inlineStr">
        <is>
          <t>Primary</t>
        </is>
      </c>
    </row>
    <row r="1112">
      <c r="A1112" t="n">
        <v>5</v>
      </c>
      <c r="B1112" s="27" t="inlineStr">
        <is>
          <t>S07</t>
        </is>
      </c>
      <c r="C1112" t="inlineStr">
        <is>
          <t>PZ-B</t>
        </is>
      </c>
      <c r="D1112" t="n">
        <v>16</v>
      </c>
      <c r="E1112" t="inlineStr">
        <is>
          <t>H0340</t>
        </is>
      </c>
      <c r="F1112" t="inlineStr">
        <is>
          <t>桃園市中壢區中山東路一段276巷51號旁工地</t>
        </is>
      </c>
      <c r="G1112" t="n">
        <v>24.956128</v>
      </c>
      <c r="H1112" t="n">
        <v>121.233189</v>
      </c>
      <c r="I1112" t="n">
        <v>8</v>
      </c>
      <c r="J1112" t="n">
        <v>3</v>
      </c>
      <c r="K1112" t="n">
        <v>310.9</v>
      </c>
      <c r="L1112" t="inlineStr">
        <is>
          <t>Primary</t>
        </is>
      </c>
    </row>
    <row r="1113">
      <c r="A1113" t="n">
        <v>5</v>
      </c>
      <c r="B1113" s="27" t="inlineStr">
        <is>
          <t>S07</t>
        </is>
      </c>
      <c r="C1113" t="inlineStr">
        <is>
          <t>PZ-B</t>
        </is>
      </c>
      <c r="D1113" t="n">
        <v>17</v>
      </c>
      <c r="E1113" t="inlineStr">
        <is>
          <t>H0385</t>
        </is>
      </c>
      <c r="F1113" t="inlineStr">
        <is>
          <t>桃園市中壢區吉林路66-8號對面</t>
        </is>
      </c>
      <c r="G1113" t="n">
        <v>24.979506</v>
      </c>
      <c r="H1113" t="n">
        <v>121.246269</v>
      </c>
      <c r="I1113" t="n">
        <v>8</v>
      </c>
      <c r="J1113" t="n">
        <v>7</v>
      </c>
      <c r="K1113" t="n">
        <v>325.9</v>
      </c>
      <c r="L1113" t="inlineStr">
        <is>
          <t>Primary</t>
        </is>
      </c>
    </row>
    <row r="1114">
      <c r="A1114" t="n">
        <v>5</v>
      </c>
      <c r="B1114" s="27" t="inlineStr">
        <is>
          <t>S07</t>
        </is>
      </c>
      <c r="C1114" t="inlineStr">
        <is>
          <t>PZ-B</t>
        </is>
      </c>
      <c r="D1114" t="n">
        <v>18</v>
      </c>
      <c r="E1114" t="inlineStr">
        <is>
          <t>H0363</t>
        </is>
      </c>
      <c r="F1114" t="inlineStr">
        <is>
          <t>桃園市中壢區文化路399號-文化公園-附定位圖</t>
        </is>
      </c>
      <c r="G1114" t="n">
        <v>24.980384</v>
      </c>
      <c r="H1114" t="n">
        <v>121.24985</v>
      </c>
      <c r="I1114" t="n">
        <v>8</v>
      </c>
      <c r="J1114" t="n">
        <v>3</v>
      </c>
      <c r="K1114" t="n">
        <v>336.9</v>
      </c>
      <c r="L1114" t="inlineStr">
        <is>
          <t>Primary</t>
        </is>
      </c>
    </row>
    <row r="1115">
      <c r="A1115" t="n">
        <v>5</v>
      </c>
      <c r="B1115" s="27" t="inlineStr">
        <is>
          <t>S07</t>
        </is>
      </c>
      <c r="C1115" t="inlineStr">
        <is>
          <t>PZ-B</t>
        </is>
      </c>
      <c r="D1115" t="n">
        <v>19</v>
      </c>
      <c r="E1115" t="inlineStr">
        <is>
          <t>H0387</t>
        </is>
      </c>
      <c r="F1115" t="inlineStr">
        <is>
          <t>桃園市中壢區成章二街566號-工務所</t>
        </is>
      </c>
      <c r="G1115" t="n">
        <v>24.978825</v>
      </c>
      <c r="H1115" t="n">
        <v>121.252</v>
      </c>
      <c r="I1115" t="n">
        <v>8</v>
      </c>
      <c r="J1115" t="n">
        <v>3</v>
      </c>
      <c r="K1115" t="n">
        <v>347.9</v>
      </c>
      <c r="L1115" t="inlineStr">
        <is>
          <t>Primary</t>
        </is>
      </c>
    </row>
    <row r="1116">
      <c r="A1116" t="n">
        <v>5</v>
      </c>
      <c r="B1116" s="27" t="inlineStr">
        <is>
          <t>S07</t>
        </is>
      </c>
      <c r="C1116" t="inlineStr">
        <is>
          <t>PZ-B</t>
        </is>
      </c>
      <c r="D1116" t="n">
        <v>20</v>
      </c>
      <c r="E1116" t="inlineStr">
        <is>
          <t>H0360</t>
        </is>
      </c>
      <c r="F1116" t="inlineStr">
        <is>
          <t>桃園市中壢區元生二街126號-二期</t>
        </is>
      </c>
      <c r="G1116" t="n">
        <v>24.977025</v>
      </c>
      <c r="H1116" t="n">
        <v>121.252875</v>
      </c>
      <c r="I1116" t="n">
        <v>16</v>
      </c>
      <c r="J1116" t="n">
        <v>3</v>
      </c>
      <c r="K1116" t="n">
        <v>366.9</v>
      </c>
      <c r="L1116" t="inlineStr">
        <is>
          <t>Primary</t>
        </is>
      </c>
    </row>
    <row r="1117">
      <c r="A1117" t="n">
        <v>5</v>
      </c>
      <c r="B1117" s="27" t="inlineStr">
        <is>
          <t>S07</t>
        </is>
      </c>
      <c r="C1117" t="inlineStr">
        <is>
          <t>PZ-B</t>
        </is>
      </c>
      <c r="D1117" t="n">
        <v>21</v>
      </c>
      <c r="E1117" t="inlineStr">
        <is>
          <t>H0359</t>
        </is>
      </c>
      <c r="F1117" t="inlineStr">
        <is>
          <t>桃園市中壢區元生二街126號</t>
        </is>
      </c>
      <c r="G1117" t="n">
        <v>24.976473</v>
      </c>
      <c r="H1117" t="n">
        <v>121.253378</v>
      </c>
      <c r="I1117" t="n">
        <v>56</v>
      </c>
      <c r="J1117" t="n">
        <v>2</v>
      </c>
      <c r="K1117" t="n">
        <v>424.9</v>
      </c>
      <c r="L1117" t="inlineStr">
        <is>
          <t>Primary</t>
        </is>
      </c>
    </row>
    <row r="1118">
      <c r="A1118" t="n">
        <v>5</v>
      </c>
      <c r="B1118" s="27" t="inlineStr">
        <is>
          <t>S07</t>
        </is>
      </c>
      <c r="C1118" t="inlineStr">
        <is>
          <t>PZ-B</t>
        </is>
      </c>
      <c r="D1118" t="n">
        <v>22</v>
      </c>
      <c r="E1118" t="inlineStr">
        <is>
          <t>H0392</t>
        </is>
      </c>
      <c r="F1118" t="inlineStr">
        <is>
          <t>桃園市中壢區忠孝路66號</t>
        </is>
      </c>
      <c r="G1118" t="n">
        <v>24.974156</v>
      </c>
      <c r="H1118" t="n">
        <v>121.256064</v>
      </c>
      <c r="I1118" t="n">
        <v>8</v>
      </c>
      <c r="J1118" t="n">
        <v>3</v>
      </c>
      <c r="K1118" t="n">
        <v>435.9</v>
      </c>
      <c r="L1118" t="inlineStr">
        <is>
          <t>Primary</t>
        </is>
      </c>
    </row>
    <row r="1119">
      <c r="A1119" t="n">
        <v>5</v>
      </c>
      <c r="B1119" s="27" t="inlineStr">
        <is>
          <t>S07</t>
        </is>
      </c>
      <c r="C1119" t="inlineStr">
        <is>
          <t>PZ-B</t>
        </is>
      </c>
      <c r="D1119" t="n">
        <v>23</v>
      </c>
      <c r="E1119" t="inlineStr">
        <is>
          <t>H0464</t>
        </is>
      </c>
      <c r="F1119" t="inlineStr">
        <is>
          <t>桃園市中壢區興仁路二段(內壢火車站附近)守衛室</t>
        </is>
      </c>
      <c r="G1119" t="n">
        <v>24.973039</v>
      </c>
      <c r="H1119" t="n">
        <v>121.259536</v>
      </c>
      <c r="I1119" t="n">
        <v>16</v>
      </c>
      <c r="J1119" t="n">
        <v>3</v>
      </c>
      <c r="K1119" t="n">
        <v>454.9</v>
      </c>
      <c r="L1119" t="inlineStr">
        <is>
          <t>Primary</t>
        </is>
      </c>
    </row>
    <row r="1120">
      <c r="A1120" t="n">
        <v>5</v>
      </c>
      <c r="B1120" s="27" t="inlineStr">
        <is>
          <t>S07</t>
        </is>
      </c>
      <c r="C1120" t="inlineStr">
        <is>
          <t>PZ-B</t>
        </is>
      </c>
      <c r="D1120" t="n">
        <v>24</v>
      </c>
      <c r="E1120" t="inlineStr">
        <is>
          <t>H0460</t>
        </is>
      </c>
      <c r="F1120" t="inlineStr">
        <is>
          <t>桃園市中壢區遠東路81巷1~3號</t>
        </is>
      </c>
      <c r="G1120" t="n">
        <v>24.971936</v>
      </c>
      <c r="H1120" t="n">
        <v>121.262908</v>
      </c>
      <c r="I1120" t="n">
        <v>16</v>
      </c>
      <c r="J1120" t="n">
        <v>3</v>
      </c>
      <c r="K1120" t="n">
        <v>473.9</v>
      </c>
      <c r="L1120" t="inlineStr">
        <is>
          <t>Primary</t>
        </is>
      </c>
    </row>
    <row r="1121">
      <c r="A1121" t="n">
        <v>5</v>
      </c>
      <c r="B1121" s="27" t="inlineStr">
        <is>
          <t>S07</t>
        </is>
      </c>
      <c r="C1121" t="inlineStr">
        <is>
          <t>PZ-B</t>
        </is>
      </c>
      <c r="D1121" t="n">
        <v>25</v>
      </c>
      <c r="E1121" t="inlineStr">
        <is>
          <t>H0459</t>
        </is>
      </c>
      <c r="F1121" t="inlineStr">
        <is>
          <t>桃園市中壢區遠東路135號旁-元智大學旁</t>
        </is>
      </c>
      <c r="G1121" t="n">
        <v>24.968814</v>
      </c>
      <c r="H1121" t="n">
        <v>121.264414</v>
      </c>
      <c r="I1121" t="n">
        <v>8</v>
      </c>
      <c r="J1121" t="n">
        <v>3</v>
      </c>
      <c r="K1121" t="n">
        <v>484.9</v>
      </c>
      <c r="L1121" t="inlineStr">
        <is>
          <t>Primary</t>
        </is>
      </c>
    </row>
    <row r="1122">
      <c r="A1122" t="n">
        <v>5</v>
      </c>
      <c r="B1122" s="27" t="inlineStr">
        <is>
          <t>S07</t>
        </is>
      </c>
      <c r="C1122" t="inlineStr">
        <is>
          <t>PZ-B</t>
        </is>
      </c>
      <c r="D1122" t="n">
        <v>26</v>
      </c>
      <c r="E1122" t="inlineStr">
        <is>
          <t>H0456</t>
        </is>
      </c>
      <c r="F1122" t="inlineStr">
        <is>
          <t>桃園市中壢區榮民路285巷13號</t>
        </is>
      </c>
      <c r="G1122" t="n">
        <v>24.963978</v>
      </c>
      <c r="H1122" t="n">
        <v>121.261758</v>
      </c>
      <c r="I1122" t="n">
        <v>8</v>
      </c>
      <c r="J1122" t="n">
        <v>3</v>
      </c>
      <c r="K1122" t="n">
        <v>495.9</v>
      </c>
      <c r="L1122" t="inlineStr">
        <is>
          <t>Primary</t>
        </is>
      </c>
    </row>
    <row r="1123">
      <c r="A1123" t="n">
        <v>5</v>
      </c>
      <c r="B1123" s="27" t="inlineStr">
        <is>
          <t>S07</t>
        </is>
      </c>
      <c r="C1123" t="inlineStr">
        <is>
          <t>PZ-B</t>
        </is>
      </c>
      <c r="D1123" t="n">
        <v>27</v>
      </c>
      <c r="E1123" t="inlineStr">
        <is>
          <t>H0464</t>
        </is>
      </c>
      <c r="F1123" t="inlineStr">
        <is>
          <t>桃園市中壢區興仁路二段(內壢火車站附近)守衛室</t>
        </is>
      </c>
      <c r="G1123" t="n">
        <v>24.9620246</v>
      </c>
      <c r="H1123" t="n">
        <v>121.2642413</v>
      </c>
      <c r="I1123" t="n">
        <v>16</v>
      </c>
      <c r="J1123" t="n">
        <v>3</v>
      </c>
      <c r="K1123" t="n">
        <v>514.9</v>
      </c>
      <c r="L1123" t="inlineStr">
        <is>
          <t>Primary</t>
        </is>
      </c>
    </row>
    <row r="1124">
      <c r="A1124" t="n">
        <v>6</v>
      </c>
      <c r="B1124" s="27" t="inlineStr">
        <is>
          <t>S07</t>
        </is>
      </c>
      <c r="C1124" t="inlineStr">
        <is>
          <t>PZ-B</t>
        </is>
      </c>
      <c r="D1124" t="n">
        <v>1</v>
      </c>
      <c r="E1124" t="inlineStr">
        <is>
          <t>H0336</t>
        </is>
      </c>
      <c r="F1124" t="inlineStr">
        <is>
          <t>桃園市中壢區中大路215之7號對面</t>
        </is>
      </c>
      <c r="G1124" t="n">
        <v>24.968345</v>
      </c>
      <c r="H1124" t="n">
        <v>121.198014</v>
      </c>
      <c r="I1124" t="n">
        <v>8</v>
      </c>
      <c r="J1124" t="n">
        <v>17.8</v>
      </c>
      <c r="K1124" t="n">
        <v>25.8</v>
      </c>
      <c r="L1124" t="inlineStr">
        <is>
          <t>Primary</t>
        </is>
      </c>
    </row>
    <row r="1125">
      <c r="A1125" t="n">
        <v>6</v>
      </c>
      <c r="B1125" s="27" t="inlineStr">
        <is>
          <t>S07</t>
        </is>
      </c>
      <c r="C1125" t="inlineStr">
        <is>
          <t>PZ-B</t>
        </is>
      </c>
      <c r="D1125" t="n">
        <v>2</v>
      </c>
      <c r="E1125" t="inlineStr">
        <is>
          <t>H0378</t>
        </is>
      </c>
      <c r="F1125" t="inlineStr">
        <is>
          <t>桃園市中壢區永裕路131號旁-中悅HLV工地</t>
        </is>
      </c>
      <c r="G1125" t="n">
        <v>25.008764</v>
      </c>
      <c r="H1125" t="n">
        <v>121.200739</v>
      </c>
      <c r="I1125" t="n">
        <v>16</v>
      </c>
      <c r="J1125" t="n">
        <v>10.8</v>
      </c>
      <c r="K1125" t="n">
        <v>52.7</v>
      </c>
      <c r="L1125" t="inlineStr">
        <is>
          <t>Primary</t>
        </is>
      </c>
    </row>
    <row r="1126">
      <c r="A1126" t="n">
        <v>6</v>
      </c>
      <c r="B1126" s="27" t="inlineStr">
        <is>
          <t>S07</t>
        </is>
      </c>
      <c r="C1126" t="inlineStr">
        <is>
          <t>PZ-B</t>
        </is>
      </c>
      <c r="D1126" t="n">
        <v>3</v>
      </c>
      <c r="E1126" t="inlineStr">
        <is>
          <t>H0374</t>
        </is>
      </c>
      <c r="F1126" t="inlineStr">
        <is>
          <t>桃園市中壢區民權路四段535號旁</t>
        </is>
      </c>
      <c r="G1126" t="n">
        <v>25.010358</v>
      </c>
      <c r="H1126" t="n">
        <v>121.202456</v>
      </c>
      <c r="I1126" t="n">
        <v>8</v>
      </c>
      <c r="J1126" t="n">
        <v>3</v>
      </c>
      <c r="K1126" t="n">
        <v>63.7</v>
      </c>
      <c r="L1126" t="inlineStr">
        <is>
          <t>Primary</t>
        </is>
      </c>
    </row>
    <row r="1127">
      <c r="A1127" t="n">
        <v>6</v>
      </c>
      <c r="B1127" s="27" t="inlineStr">
        <is>
          <t>S07</t>
        </is>
      </c>
      <c r="C1127" t="inlineStr">
        <is>
          <t>PZ-B</t>
        </is>
      </c>
      <c r="D1127" t="n">
        <v>4</v>
      </c>
      <c r="E1127" t="inlineStr">
        <is>
          <t>H0329</t>
        </is>
      </c>
      <c r="F1127" t="inlineStr">
        <is>
          <t>桃園市中壢區(近大園)春德路107號對面(新光影城對面-右)</t>
        </is>
      </c>
      <c r="G1127" t="n">
        <v>25.019817</v>
      </c>
      <c r="H1127" t="n">
        <v>121.211308</v>
      </c>
      <c r="I1127" t="n">
        <v>8</v>
      </c>
      <c r="J1127" t="n">
        <v>3.3</v>
      </c>
      <c r="K1127" t="n">
        <v>75</v>
      </c>
      <c r="L1127" t="inlineStr">
        <is>
          <t>Primary</t>
        </is>
      </c>
    </row>
    <row r="1128">
      <c r="A1128" t="n">
        <v>6</v>
      </c>
      <c r="B1128" s="27" t="inlineStr">
        <is>
          <t>S07</t>
        </is>
      </c>
      <c r="C1128" t="inlineStr">
        <is>
          <t>PZ-B</t>
        </is>
      </c>
      <c r="D1128" t="n">
        <v>5</v>
      </c>
      <c r="E1128" t="inlineStr">
        <is>
          <t>H0334</t>
        </is>
      </c>
      <c r="F1128" t="inlineStr">
        <is>
          <t>桃園市中壢區大勇路68號旁工地(華泰三期附近工地)</t>
        </is>
      </c>
      <c r="G1128" t="n">
        <v>25.0186035</v>
      </c>
      <c r="H1128" t="n">
        <v>121.2192045</v>
      </c>
      <c r="I1128" t="n">
        <v>32</v>
      </c>
      <c r="J1128" t="n">
        <v>3</v>
      </c>
      <c r="K1128" t="n">
        <v>110</v>
      </c>
      <c r="L1128" t="inlineStr">
        <is>
          <t>Primary</t>
        </is>
      </c>
    </row>
    <row r="1129">
      <c r="A1129" t="n">
        <v>6</v>
      </c>
      <c r="B1129" s="27" t="inlineStr">
        <is>
          <t>S07</t>
        </is>
      </c>
      <c r="C1129" t="inlineStr">
        <is>
          <t>PZ-B</t>
        </is>
      </c>
      <c r="D1129" t="n">
        <v>6</v>
      </c>
      <c r="E1129" t="inlineStr">
        <is>
          <t>H0402</t>
        </is>
      </c>
      <c r="F1129" t="inlineStr">
        <is>
          <t>桃園市中壢區青昇一街52號</t>
        </is>
      </c>
      <c r="G1129" t="n">
        <v>25.016211</v>
      </c>
      <c r="H1129" t="n">
        <v>121.220975</v>
      </c>
      <c r="I1129" t="n">
        <v>8</v>
      </c>
      <c r="J1129" t="n">
        <v>3</v>
      </c>
      <c r="K1129" t="n">
        <v>121</v>
      </c>
      <c r="L1129" t="inlineStr">
        <is>
          <t>Primary</t>
        </is>
      </c>
    </row>
    <row r="1130">
      <c r="A1130" t="n">
        <v>6</v>
      </c>
      <c r="B1130" s="27" t="inlineStr">
        <is>
          <t>S07</t>
        </is>
      </c>
      <c r="C1130" t="inlineStr">
        <is>
          <t>PZ-B</t>
        </is>
      </c>
      <c r="D1130" t="n">
        <v>7</v>
      </c>
      <c r="E1130" t="inlineStr">
        <is>
          <t>H0333</t>
        </is>
      </c>
      <c r="F1130" t="inlineStr">
        <is>
          <t>桃園市中壢區大成路一段17號</t>
        </is>
      </c>
      <c r="G1130" t="n">
        <v>25.018306</v>
      </c>
      <c r="H1130" t="n">
        <v>121.22307</v>
      </c>
      <c r="I1130" t="n">
        <v>8</v>
      </c>
      <c r="J1130" t="n">
        <v>3</v>
      </c>
      <c r="K1130" t="n">
        <v>132</v>
      </c>
      <c r="L1130" t="inlineStr">
        <is>
          <t>Primary</t>
        </is>
      </c>
    </row>
    <row r="1131">
      <c r="A1131" t="n">
        <v>6</v>
      </c>
      <c r="B1131" s="27" t="inlineStr">
        <is>
          <t>S07</t>
        </is>
      </c>
      <c r="C1131" t="inlineStr">
        <is>
          <t>PZ-B</t>
        </is>
      </c>
      <c r="D1131" t="n">
        <v>8</v>
      </c>
      <c r="E1131" t="inlineStr">
        <is>
          <t>H0328</t>
        </is>
      </c>
      <c r="F1131" t="inlineStr">
        <is>
          <t>桃園市中壢區(大園區)高鐵北路二段208號</t>
        </is>
      </c>
      <c r="G1131" t="n">
        <v>25.021078</v>
      </c>
      <c r="H1131" t="n">
        <v>121.223661</v>
      </c>
      <c r="I1131" t="n">
        <v>8</v>
      </c>
      <c r="J1131" t="n">
        <v>3</v>
      </c>
      <c r="K1131" t="n">
        <v>143</v>
      </c>
      <c r="L1131" t="inlineStr">
        <is>
          <t>Primary</t>
        </is>
      </c>
    </row>
    <row r="1132">
      <c r="A1132" t="n">
        <v>6</v>
      </c>
      <c r="B1132" s="27" t="inlineStr">
        <is>
          <t>S07</t>
        </is>
      </c>
      <c r="C1132" t="inlineStr">
        <is>
          <t>PZ-B</t>
        </is>
      </c>
      <c r="D1132" t="n">
        <v>9</v>
      </c>
      <c r="E1132" t="inlineStr">
        <is>
          <t>H0407</t>
        </is>
      </c>
      <c r="F1132" t="inlineStr">
        <is>
          <t>桃園市中壢區青埔五街138號旁</t>
        </is>
      </c>
      <c r="G1132" t="n">
        <v>25.005658</v>
      </c>
      <c r="H1132" t="n">
        <v>121.223131</v>
      </c>
      <c r="I1132" t="n">
        <v>8</v>
      </c>
      <c r="J1132" t="n">
        <v>4.1</v>
      </c>
      <c r="K1132" t="n">
        <v>155.1</v>
      </c>
      <c r="L1132" t="inlineStr">
        <is>
          <t>Primary</t>
        </is>
      </c>
    </row>
    <row r="1133">
      <c r="A1133" t="n">
        <v>6</v>
      </c>
      <c r="B1133" s="27" t="inlineStr">
        <is>
          <t>S07</t>
        </is>
      </c>
      <c r="C1133" t="inlineStr">
        <is>
          <t>PZ-B</t>
        </is>
      </c>
      <c r="D1133" t="n">
        <v>10</v>
      </c>
      <c r="E1133" t="inlineStr">
        <is>
          <t>H0384</t>
        </is>
      </c>
      <c r="F1133" t="inlineStr">
        <is>
          <t>桃園市中壢區合江二路7號</t>
        </is>
      </c>
      <c r="G1133" t="n">
        <v>24.985472</v>
      </c>
      <c r="H1133" t="n">
        <v>121.244336</v>
      </c>
      <c r="I1133" t="n">
        <v>16</v>
      </c>
      <c r="J1133" t="n">
        <v>7.4</v>
      </c>
      <c r="K1133" t="n">
        <v>178.5</v>
      </c>
      <c r="L1133" t="inlineStr">
        <is>
          <t>Primary</t>
        </is>
      </c>
    </row>
    <row r="1134">
      <c r="A1134" t="n">
        <v>6</v>
      </c>
      <c r="B1134" s="27" t="inlineStr">
        <is>
          <t>S07</t>
        </is>
      </c>
      <c r="C1134" t="inlineStr">
        <is>
          <t>PZ-B</t>
        </is>
      </c>
      <c r="D1134" t="n">
        <v>11</v>
      </c>
      <c r="E1134" t="inlineStr">
        <is>
          <t>H0347</t>
        </is>
      </c>
      <c r="F1134" t="inlineStr">
        <is>
          <t>桃園市中壢區中華路1段743巷40號(靠六和汽車)</t>
        </is>
      </c>
      <c r="G1134" t="n">
        <v>24.9748141</v>
      </c>
      <c r="H1134" t="n">
        <v>121.2649216</v>
      </c>
      <c r="I1134" t="n">
        <v>16</v>
      </c>
      <c r="J1134" t="n">
        <v>5.7</v>
      </c>
      <c r="K1134" t="n">
        <v>200.3</v>
      </c>
      <c r="L1134" t="inlineStr">
        <is>
          <t>Primary</t>
        </is>
      </c>
    </row>
    <row r="1135">
      <c r="A1135" t="n">
        <v>6</v>
      </c>
      <c r="B1135" s="27" t="inlineStr">
        <is>
          <t>S07</t>
        </is>
      </c>
      <c r="C1135" t="inlineStr">
        <is>
          <t>PZ-B</t>
        </is>
      </c>
      <c r="D1135" t="n">
        <v>12</v>
      </c>
      <c r="E1135" t="inlineStr">
        <is>
          <t>H0022</t>
        </is>
      </c>
      <c r="F1135" t="inlineStr">
        <is>
          <t>桃園市八德區東泰街(茄苳里埤塘公園)寶豐街</t>
        </is>
      </c>
      <c r="G1135" t="n">
        <v>24.966831</v>
      </c>
      <c r="H1135" t="n">
        <v>121.272861</v>
      </c>
      <c r="I1135" t="n">
        <v>16</v>
      </c>
      <c r="J1135" t="n">
        <v>3</v>
      </c>
      <c r="K1135" t="n">
        <v>219.3</v>
      </c>
      <c r="L1135" t="inlineStr">
        <is>
          <t>Primary</t>
        </is>
      </c>
    </row>
    <row r="1136">
      <c r="A1136" t="n">
        <v>6</v>
      </c>
      <c r="B1136" s="27" t="inlineStr">
        <is>
          <t>S07</t>
        </is>
      </c>
      <c r="C1136" t="inlineStr">
        <is>
          <t>PZ-B</t>
        </is>
      </c>
      <c r="D1136" t="n">
        <v>13</v>
      </c>
      <c r="E1136" t="inlineStr">
        <is>
          <t>H0022</t>
        </is>
      </c>
      <c r="F1136" t="inlineStr">
        <is>
          <t>桃園市八德區東泰街(茄苳里埤塘公園)寶豐街</t>
        </is>
      </c>
      <c r="G1136" t="n">
        <v>24.9655639</v>
      </c>
      <c r="H1136" t="n">
        <v>121.2726447</v>
      </c>
      <c r="I1136" t="n">
        <v>16</v>
      </c>
      <c r="J1136" t="n">
        <v>3</v>
      </c>
      <c r="K1136" t="n">
        <v>238.3</v>
      </c>
      <c r="L1136" t="inlineStr">
        <is>
          <t>Primary</t>
        </is>
      </c>
    </row>
    <row r="1137">
      <c r="A1137" t="n">
        <v>6</v>
      </c>
      <c r="B1137" s="27" t="inlineStr">
        <is>
          <t>S07</t>
        </is>
      </c>
      <c r="C1137" t="inlineStr">
        <is>
          <t>PZ-B</t>
        </is>
      </c>
      <c r="D1137" t="n">
        <v>14</v>
      </c>
      <c r="E1137" t="inlineStr">
        <is>
          <t>H0023</t>
        </is>
      </c>
      <c r="F1137" t="inlineStr">
        <is>
          <t>桃園市八德區東泰街283號283-15號前廣場</t>
        </is>
      </c>
      <c r="G1137" t="n">
        <v>24.963706</v>
      </c>
      <c r="H1137" t="n">
        <v>121.272606</v>
      </c>
      <c r="I1137" t="n">
        <v>16</v>
      </c>
      <c r="J1137" t="n">
        <v>3</v>
      </c>
      <c r="K1137" t="n">
        <v>257.3</v>
      </c>
      <c r="L1137" t="inlineStr">
        <is>
          <t>Primary</t>
        </is>
      </c>
    </row>
    <row r="1138">
      <c r="A1138" t="n">
        <v>6</v>
      </c>
      <c r="B1138" s="27" t="inlineStr">
        <is>
          <t>S07</t>
        </is>
      </c>
      <c r="C1138" t="inlineStr">
        <is>
          <t>PZ-B</t>
        </is>
      </c>
      <c r="D1138" t="n">
        <v>15</v>
      </c>
      <c r="E1138" t="inlineStr">
        <is>
          <t>H0023</t>
        </is>
      </c>
      <c r="F1138" t="inlineStr">
        <is>
          <t>桃園市八德區東泰街283號283-15號前廣場</t>
        </is>
      </c>
      <c r="G1138" t="n">
        <v>24.9635934</v>
      </c>
      <c r="H1138" t="n">
        <v>121.2726483</v>
      </c>
      <c r="I1138" t="n">
        <v>16</v>
      </c>
      <c r="J1138" t="n">
        <v>2</v>
      </c>
      <c r="K1138" t="n">
        <v>275.3</v>
      </c>
      <c r="L1138" t="inlineStr">
        <is>
          <t>Primary</t>
        </is>
      </c>
    </row>
    <row r="1139">
      <c r="A1139" t="n">
        <v>6</v>
      </c>
      <c r="B1139" s="27" t="inlineStr">
        <is>
          <t>S07</t>
        </is>
      </c>
      <c r="C1139" t="inlineStr">
        <is>
          <t>PZ-B</t>
        </is>
      </c>
      <c r="D1139" t="n">
        <v>16</v>
      </c>
      <c r="E1139" t="inlineStr">
        <is>
          <t>H0012</t>
        </is>
      </c>
      <c r="F1139" t="inlineStr">
        <is>
          <t>桃園市八德區永豐南路28號旁工地</t>
        </is>
      </c>
      <c r="G1139" t="n">
        <v>24.958349</v>
      </c>
      <c r="H1139" t="n">
        <v>121.2797196666667</v>
      </c>
      <c r="I1139" t="n">
        <v>42</v>
      </c>
      <c r="J1139" t="n">
        <v>3</v>
      </c>
      <c r="K1139" t="n">
        <v>320.3</v>
      </c>
      <c r="L1139" t="inlineStr">
        <is>
          <t>Primary</t>
        </is>
      </c>
    </row>
    <row r="1140">
      <c r="A1140" t="n">
        <v>6</v>
      </c>
      <c r="B1140" s="27" t="inlineStr">
        <is>
          <t>S07</t>
        </is>
      </c>
      <c r="C1140" t="inlineStr">
        <is>
          <t>PZ-B</t>
        </is>
      </c>
      <c r="D1140" t="n">
        <v>17</v>
      </c>
      <c r="E1140" t="inlineStr">
        <is>
          <t>H0048</t>
        </is>
      </c>
      <c r="F1140" t="inlineStr">
        <is>
          <t>桃園市八德區廣福路356號</t>
        </is>
      </c>
      <c r="G1140" t="n">
        <v>24.959639</v>
      </c>
      <c r="H1140" t="n">
        <v>121.290583</v>
      </c>
      <c r="I1140" t="n">
        <v>8</v>
      </c>
      <c r="J1140" t="n">
        <v>3</v>
      </c>
      <c r="K1140" t="n">
        <v>331.3</v>
      </c>
      <c r="L1140" t="inlineStr">
        <is>
          <t>Primary</t>
        </is>
      </c>
    </row>
    <row r="1141">
      <c r="A1141" t="n">
        <v>6</v>
      </c>
      <c r="B1141" s="27" t="inlineStr">
        <is>
          <t>S07</t>
        </is>
      </c>
      <c r="C1141" t="inlineStr">
        <is>
          <t>PZ-B</t>
        </is>
      </c>
      <c r="D1141" t="n">
        <v>18</v>
      </c>
      <c r="E1141" t="inlineStr">
        <is>
          <t>H0668</t>
        </is>
      </c>
      <c r="F1141" t="inlineStr">
        <is>
          <t>桃園市新屋區新文路560號</t>
        </is>
      </c>
      <c r="G1141" t="n">
        <v>24.977934</v>
      </c>
      <c r="H1141" t="n">
        <v>121.113819</v>
      </c>
      <c r="I1141" t="n">
        <v>8</v>
      </c>
      <c r="J1141" t="n">
        <v>17.9</v>
      </c>
      <c r="K1141" t="n">
        <v>357.2</v>
      </c>
      <c r="L1141" t="inlineStr">
        <is>
          <t>Primary</t>
        </is>
      </c>
    </row>
    <row r="1142">
      <c r="A1142" t="n">
        <v>6</v>
      </c>
      <c r="B1142" s="27" t="inlineStr">
        <is>
          <t>S07</t>
        </is>
      </c>
      <c r="C1142" t="inlineStr">
        <is>
          <t>PZ-B</t>
        </is>
      </c>
      <c r="D1142" t="n">
        <v>19</v>
      </c>
      <c r="E1142" t="inlineStr">
        <is>
          <t>H0632</t>
        </is>
      </c>
      <c r="F1142" t="inlineStr">
        <is>
          <t>桃園市新屋區中興北路207號旁工務所-追加</t>
        </is>
      </c>
      <c r="G1142" t="n">
        <v>24.976945</v>
      </c>
      <c r="H1142" t="n">
        <v>121.104747</v>
      </c>
      <c r="I1142" t="n">
        <v>8</v>
      </c>
      <c r="J1142" t="n">
        <v>3</v>
      </c>
      <c r="K1142" t="n">
        <v>368.2</v>
      </c>
      <c r="L1142" t="inlineStr">
        <is>
          <t>Primary</t>
        </is>
      </c>
    </row>
    <row r="1143">
      <c r="A1143" t="n">
        <v>6</v>
      </c>
      <c r="B1143" s="27" t="inlineStr">
        <is>
          <t>S07</t>
        </is>
      </c>
      <c r="C1143" t="inlineStr">
        <is>
          <t>PZ-B</t>
        </is>
      </c>
      <c r="D1143" t="n">
        <v>20</v>
      </c>
      <c r="E1143" t="inlineStr">
        <is>
          <t>H0655</t>
        </is>
      </c>
      <c r="F1143" t="inlineStr">
        <is>
          <t>桃園市新屋區後湖路24°59'05.4"N 121°04'56.8"E(東興路區)</t>
        </is>
      </c>
      <c r="G1143" t="n">
        <v>24.985019</v>
      </c>
      <c r="H1143" t="n">
        <v>121.08212</v>
      </c>
      <c r="I1143" t="n">
        <v>18</v>
      </c>
      <c r="J1143" t="n">
        <v>5.9</v>
      </c>
      <c r="K1143" t="n">
        <v>392.1</v>
      </c>
      <c r="L1143" t="inlineStr">
        <is>
          <t>Primary</t>
        </is>
      </c>
    </row>
    <row r="1144">
      <c r="A1144" t="n">
        <v>6</v>
      </c>
      <c r="B1144" s="27" t="inlineStr">
        <is>
          <t>S07</t>
        </is>
      </c>
      <c r="C1144" t="inlineStr">
        <is>
          <t>PZ-B</t>
        </is>
      </c>
      <c r="D1144" t="n">
        <v>21</v>
      </c>
      <c r="E1144" t="inlineStr">
        <is>
          <t>H0654</t>
        </is>
      </c>
      <c r="F1144" t="inlineStr">
        <is>
          <t>桃園市新屋區保安路一段177巷(永安國小圍牆右轉巷內約500公尺)</t>
        </is>
      </c>
      <c r="G1144" t="n">
        <v>24.992069</v>
      </c>
      <c r="H1144" t="n">
        <v>121.042086</v>
      </c>
      <c r="I1144" t="n">
        <v>16</v>
      </c>
      <c r="J1144" t="n">
        <v>9.9</v>
      </c>
      <c r="K1144" t="n">
        <v>417.9</v>
      </c>
      <c r="L1144" t="inlineStr">
        <is>
          <t>Primary</t>
        </is>
      </c>
    </row>
    <row r="1145">
      <c r="A1145" t="n">
        <v>6</v>
      </c>
      <c r="B1145" s="27" t="inlineStr">
        <is>
          <t>S07</t>
        </is>
      </c>
      <c r="C1145" t="inlineStr">
        <is>
          <t>PZ-B</t>
        </is>
      </c>
      <c r="D1145" t="n">
        <v>22</v>
      </c>
      <c r="E1145" t="inlineStr">
        <is>
          <t>H0767</t>
        </is>
      </c>
      <c r="F1145" t="inlineStr">
        <is>
          <t>桃園市楊梅區楊湖路三段195號旁</t>
        </is>
      </c>
      <c r="G1145" t="n">
        <v>24.912136</v>
      </c>
      <c r="H1145" t="n">
        <v>121.076231</v>
      </c>
      <c r="I1145" t="n">
        <v>8</v>
      </c>
      <c r="J1145" t="n">
        <v>22.9</v>
      </c>
      <c r="K1145" t="n">
        <v>448.8</v>
      </c>
      <c r="L1145" t="inlineStr">
        <is>
          <t>Primary</t>
        </is>
      </c>
    </row>
    <row r="1146">
      <c r="A1146" t="n">
        <v>6</v>
      </c>
      <c r="B1146" s="27" t="inlineStr">
        <is>
          <t>S07</t>
        </is>
      </c>
      <c r="C1146" t="inlineStr">
        <is>
          <t>PZ-B</t>
        </is>
      </c>
      <c r="D1146" t="n">
        <v>23</v>
      </c>
      <c r="E1146" t="inlineStr">
        <is>
          <t>H0741</t>
        </is>
      </c>
      <c r="F1146" t="inlineStr">
        <is>
          <t>桃園市楊梅區高鐵南路10段11巷220號旁邊</t>
        </is>
      </c>
      <c r="G1146" t="n">
        <v>24.905653</v>
      </c>
      <c r="H1146" t="n">
        <v>121.086305</v>
      </c>
      <c r="I1146" t="n">
        <v>8</v>
      </c>
      <c r="J1146" t="n">
        <v>3</v>
      </c>
      <c r="K1146" t="n">
        <v>459.8</v>
      </c>
      <c r="L1146" t="inlineStr">
        <is>
          <t>Primary</t>
        </is>
      </c>
    </row>
    <row r="1147">
      <c r="A1147" t="n">
        <v>6</v>
      </c>
      <c r="B1147" s="27" t="inlineStr">
        <is>
          <t>S07</t>
        </is>
      </c>
      <c r="C1147" t="inlineStr">
        <is>
          <t>PZ-C</t>
        </is>
      </c>
      <c r="D1147" t="n">
        <v>24</v>
      </c>
      <c r="E1147" t="inlineStr">
        <is>
          <t>J0033</t>
        </is>
      </c>
      <c r="F1147" t="inlineStr">
        <is>
          <t>新竹縣竹北市長園一街73號旁</t>
        </is>
      </c>
      <c r="G1147" t="n">
        <v>24.843183</v>
      </c>
      <c r="H1147" t="n">
        <v>120.9753975</v>
      </c>
      <c r="I1147" t="n">
        <v>16</v>
      </c>
      <c r="J1147" t="n">
        <v>13.2</v>
      </c>
      <c r="K1147" t="n">
        <v>489</v>
      </c>
      <c r="L1147" s="21" t="inlineStr">
        <is>
          <t>Support</t>
        </is>
      </c>
    </row>
    <row r="1148">
      <c r="A1148" t="n">
        <v>6</v>
      </c>
      <c r="B1148" s="27" t="inlineStr">
        <is>
          <t>S07</t>
        </is>
      </c>
      <c r="C1148" t="inlineStr">
        <is>
          <t>PZ-C</t>
        </is>
      </c>
      <c r="D1148" t="n">
        <v>25</v>
      </c>
      <c r="E1148" t="inlineStr">
        <is>
          <t>O0020</t>
        </is>
      </c>
      <c r="F1148" t="inlineStr">
        <is>
          <t>新竹市北區東大路三段570號旁</t>
        </is>
      </c>
      <c r="G1148" t="n">
        <v>24.838227</v>
      </c>
      <c r="H1148" t="n">
        <v>120.940922</v>
      </c>
      <c r="I1148" t="n">
        <v>8</v>
      </c>
      <c r="J1148" t="n">
        <v>8.5</v>
      </c>
      <c r="K1148" t="n">
        <v>505.4</v>
      </c>
      <c r="L1148" s="21" t="inlineStr">
        <is>
          <t>Support</t>
        </is>
      </c>
    </row>
    <row r="1149">
      <c r="A1149" t="n">
        <v>1</v>
      </c>
      <c r="B1149" s="28" t="inlineStr">
        <is>
          <t>S08</t>
        </is>
      </c>
      <c r="C1149" t="inlineStr">
        <is>
          <t>PZ-D</t>
        </is>
      </c>
      <c r="D1149" t="n">
        <v>1</v>
      </c>
      <c r="E1149" t="inlineStr">
        <is>
          <t>H0768</t>
        </is>
      </c>
      <c r="F1149" t="inlineStr">
        <is>
          <t>桃園市楊梅區楊新北路21巷3弄29號-魏宅</t>
        </is>
      </c>
      <c r="G1149" t="n">
        <v>24.913786</v>
      </c>
      <c r="H1149" t="n">
        <v>121.149977</v>
      </c>
      <c r="I1149" t="n">
        <v>8</v>
      </c>
      <c r="J1149" t="n">
        <v>18.7</v>
      </c>
      <c r="K1149" t="n">
        <v>26.7</v>
      </c>
      <c r="L1149" t="inlineStr">
        <is>
          <t>Primary</t>
        </is>
      </c>
    </row>
    <row r="1150">
      <c r="A1150" t="n">
        <v>1</v>
      </c>
      <c r="B1150" s="28" t="inlineStr">
        <is>
          <t>S08</t>
        </is>
      </c>
      <c r="C1150" t="inlineStr">
        <is>
          <t>PZ-D</t>
        </is>
      </c>
      <c r="D1150" t="n">
        <v>2</v>
      </c>
      <c r="E1150" t="inlineStr">
        <is>
          <t>H0099</t>
        </is>
      </c>
      <c r="F1150" t="inlineStr">
        <is>
          <t>桃園市大園區大竹南路599巷-航空城-五結段144地號</t>
        </is>
      </c>
      <c r="G1150" t="n">
        <v>25.032686</v>
      </c>
      <c r="H1150" t="n">
        <v>121.227278</v>
      </c>
      <c r="I1150" t="n">
        <v>8</v>
      </c>
      <c r="J1150" t="n">
        <v>15.3</v>
      </c>
      <c r="K1150" t="n">
        <v>50</v>
      </c>
      <c r="L1150" t="inlineStr">
        <is>
          <t>Primary</t>
        </is>
      </c>
    </row>
    <row r="1151">
      <c r="A1151" t="n">
        <v>1</v>
      </c>
      <c r="B1151" s="28" t="inlineStr">
        <is>
          <t>S08</t>
        </is>
      </c>
      <c r="C1151" t="inlineStr">
        <is>
          <t>PZ-D</t>
        </is>
      </c>
      <c r="D1151" t="n">
        <v>3</v>
      </c>
      <c r="E1151" t="inlineStr">
        <is>
          <t>H0098</t>
        </is>
      </c>
      <c r="F1151" t="inlineStr">
        <is>
          <t>桃園市大園區大竹南路599巷附近-大園重劃區</t>
        </is>
      </c>
      <c r="G1151" t="n">
        <v>25.032742</v>
      </c>
      <c r="H1151" t="n">
        <v>121.227789</v>
      </c>
      <c r="I1151" t="n">
        <v>8</v>
      </c>
      <c r="J1151" t="n">
        <v>2</v>
      </c>
      <c r="K1151" t="n">
        <v>60</v>
      </c>
      <c r="L1151" t="inlineStr">
        <is>
          <t>Primary</t>
        </is>
      </c>
    </row>
    <row r="1152">
      <c r="A1152" t="n">
        <v>1</v>
      </c>
      <c r="B1152" s="28" t="inlineStr">
        <is>
          <t>S08</t>
        </is>
      </c>
      <c r="C1152" t="inlineStr">
        <is>
          <t>PZ-D</t>
        </is>
      </c>
      <c r="D1152" t="n">
        <v>4</v>
      </c>
      <c r="E1152" t="inlineStr">
        <is>
          <t>H0096</t>
        </is>
      </c>
      <c r="F1152" t="inlineStr">
        <is>
          <t>桃園市大園區大竹南路1177號(橫山捷運站旁工地-電聯客戶帶定位</t>
        </is>
      </c>
      <c r="G1152" t="n">
        <v>25.034575</v>
      </c>
      <c r="H1152" t="n">
        <v>121.230392</v>
      </c>
      <c r="I1152" t="n">
        <v>16</v>
      </c>
      <c r="J1152" t="n">
        <v>3</v>
      </c>
      <c r="K1152" t="n">
        <v>79</v>
      </c>
      <c r="L1152" t="inlineStr">
        <is>
          <t>Primary</t>
        </is>
      </c>
    </row>
    <row r="1153">
      <c r="A1153" t="n">
        <v>1</v>
      </c>
      <c r="B1153" s="28" t="inlineStr">
        <is>
          <t>S08</t>
        </is>
      </c>
      <c r="C1153" t="inlineStr">
        <is>
          <t>PZ-D</t>
        </is>
      </c>
      <c r="D1153" t="n">
        <v>5</v>
      </c>
      <c r="E1153" t="inlineStr">
        <is>
          <t>H0107</t>
        </is>
      </c>
      <c r="F1153" t="inlineStr">
        <is>
          <t>桃園市大園區大竹南路-航空城</t>
        </is>
      </c>
      <c r="G1153" t="n">
        <v>25.040814</v>
      </c>
      <c r="H1153" t="n">
        <v>121.233689</v>
      </c>
      <c r="I1153" t="n">
        <v>16</v>
      </c>
      <c r="J1153" t="n">
        <v>3</v>
      </c>
      <c r="K1153" t="n">
        <v>98</v>
      </c>
      <c r="L1153" t="inlineStr">
        <is>
          <t>Primary</t>
        </is>
      </c>
    </row>
    <row r="1154">
      <c r="A1154" t="n">
        <v>1</v>
      </c>
      <c r="B1154" s="28" t="inlineStr">
        <is>
          <t>S08</t>
        </is>
      </c>
      <c r="C1154" t="inlineStr">
        <is>
          <t>PZ-D</t>
        </is>
      </c>
      <c r="D1154" t="n">
        <v>6</v>
      </c>
      <c r="E1154" t="inlineStr">
        <is>
          <t>H0114</t>
        </is>
      </c>
      <c r="F1154" t="inlineStr">
        <is>
          <t>桃園市大園區大竹南路進去(A1-1.福海段443地號)-附地標</t>
        </is>
      </c>
      <c r="G1154" t="n">
        <v>25.047564</v>
      </c>
      <c r="H1154" t="n">
        <v>121.234455</v>
      </c>
      <c r="I1154" t="n">
        <v>8</v>
      </c>
      <c r="J1154" t="n">
        <v>3</v>
      </c>
      <c r="K1154" t="n">
        <v>109</v>
      </c>
      <c r="L1154" t="inlineStr">
        <is>
          <t>Primary</t>
        </is>
      </c>
    </row>
    <row r="1155">
      <c r="A1155" t="n">
        <v>1</v>
      </c>
      <c r="B1155" s="28" t="inlineStr">
        <is>
          <t>S08</t>
        </is>
      </c>
      <c r="C1155" t="inlineStr">
        <is>
          <t>PZ-D</t>
        </is>
      </c>
      <c r="D1155" t="n">
        <v>7</v>
      </c>
      <c r="E1155" t="inlineStr">
        <is>
          <t>H0100</t>
        </is>
      </c>
      <c r="F1155" t="inlineStr">
        <is>
          <t>桃園市大園區大竹南路81號</t>
        </is>
      </c>
      <c r="G1155" t="n">
        <v>25.04953</v>
      </c>
      <c r="H1155" t="n">
        <v>121.230017</v>
      </c>
      <c r="I1155" t="n">
        <v>8</v>
      </c>
      <c r="J1155" t="n">
        <v>3</v>
      </c>
      <c r="K1155" t="n">
        <v>120</v>
      </c>
      <c r="L1155" t="inlineStr">
        <is>
          <t>Primary</t>
        </is>
      </c>
    </row>
    <row r="1156">
      <c r="A1156" t="n">
        <v>1</v>
      </c>
      <c r="B1156" s="28" t="inlineStr">
        <is>
          <t>S08</t>
        </is>
      </c>
      <c r="C1156" t="inlineStr">
        <is>
          <t>PZ-D</t>
        </is>
      </c>
      <c r="D1156" t="n">
        <v>8</v>
      </c>
      <c r="E1156" t="inlineStr">
        <is>
          <t>H0111</t>
        </is>
      </c>
      <c r="F1156" t="inlineStr">
        <is>
          <t>桃園市大園區大竹南路-航空城-福海段1416.1417地號</t>
        </is>
      </c>
      <c r="G1156" t="n">
        <v>25.049764</v>
      </c>
      <c r="H1156" t="n">
        <v>121.229514</v>
      </c>
      <c r="I1156" t="n">
        <v>8</v>
      </c>
      <c r="J1156" t="n">
        <v>2</v>
      </c>
      <c r="K1156" t="n">
        <v>130</v>
      </c>
      <c r="L1156" t="inlineStr">
        <is>
          <t>Primary</t>
        </is>
      </c>
    </row>
    <row r="1157">
      <c r="A1157" t="n">
        <v>1</v>
      </c>
      <c r="B1157" s="28" t="inlineStr">
        <is>
          <t>S08</t>
        </is>
      </c>
      <c r="C1157" t="inlineStr">
        <is>
          <t>PZ-D</t>
        </is>
      </c>
      <c r="D1157" t="n">
        <v>9</v>
      </c>
      <c r="E1157" t="inlineStr">
        <is>
          <t>H0102</t>
        </is>
      </c>
      <c r="F1157" t="inlineStr">
        <is>
          <t>桃園市大園區大竹南路81號-航空城-福海段174~178地號</t>
        </is>
      </c>
      <c r="G1157" t="n">
        <v>25.049994</v>
      </c>
      <c r="H1157" t="n">
        <v>121.229681</v>
      </c>
      <c r="I1157" t="n">
        <v>8</v>
      </c>
      <c r="J1157" t="n">
        <v>2</v>
      </c>
      <c r="K1157" t="n">
        <v>140</v>
      </c>
      <c r="L1157" t="inlineStr">
        <is>
          <t>Primary</t>
        </is>
      </c>
    </row>
    <row r="1158">
      <c r="A1158" t="n">
        <v>1</v>
      </c>
      <c r="B1158" s="28" t="inlineStr">
        <is>
          <t>S08</t>
        </is>
      </c>
      <c r="C1158" t="inlineStr">
        <is>
          <t>PZ-D</t>
        </is>
      </c>
      <c r="D1158" t="n">
        <v>10</v>
      </c>
      <c r="E1158" t="inlineStr">
        <is>
          <t>H0113</t>
        </is>
      </c>
      <c r="F1158" t="inlineStr">
        <is>
          <t>桃園市大園區大竹南路-航空城-橫埔段41.42.43地號</t>
        </is>
      </c>
      <c r="G1158" t="n">
        <v>25.04848</v>
      </c>
      <c r="H1158" t="n">
        <v>121.228356</v>
      </c>
      <c r="I1158" t="n">
        <v>8</v>
      </c>
      <c r="J1158" t="n">
        <v>3</v>
      </c>
      <c r="K1158" t="n">
        <v>151</v>
      </c>
      <c r="L1158" t="inlineStr">
        <is>
          <t>Primary</t>
        </is>
      </c>
    </row>
    <row r="1159">
      <c r="A1159" t="n">
        <v>1</v>
      </c>
      <c r="B1159" s="28" t="inlineStr">
        <is>
          <t>S08</t>
        </is>
      </c>
      <c r="C1159" t="inlineStr">
        <is>
          <t>PZ-D</t>
        </is>
      </c>
      <c r="D1159" t="n">
        <v>11</v>
      </c>
      <c r="E1159" t="inlineStr">
        <is>
          <t>H0097</t>
        </is>
      </c>
      <c r="F1159" t="inlineStr">
        <is>
          <t>桃園市大園區大竹南路25°02'51.8"N 121°14'22.9"E</t>
        </is>
      </c>
      <c r="G1159" t="n">
        <v>25.048061</v>
      </c>
      <c r="H1159" t="n">
        <v>121.239802</v>
      </c>
      <c r="I1159" t="n">
        <v>8</v>
      </c>
      <c r="J1159" t="n">
        <v>3</v>
      </c>
      <c r="K1159" t="n">
        <v>162</v>
      </c>
      <c r="L1159" t="inlineStr">
        <is>
          <t>Primary</t>
        </is>
      </c>
    </row>
    <row r="1160">
      <c r="A1160" t="n">
        <v>1</v>
      </c>
      <c r="B1160" s="28" t="inlineStr">
        <is>
          <t>S08</t>
        </is>
      </c>
      <c r="C1160" t="inlineStr">
        <is>
          <t>PZ-D</t>
        </is>
      </c>
      <c r="D1160" t="n">
        <v>12</v>
      </c>
      <c r="E1160" t="inlineStr">
        <is>
          <t>H0109</t>
        </is>
      </c>
      <c r="F1160" t="inlineStr">
        <is>
          <t>桃園市大園區大竹南路-航空城重劃區</t>
        </is>
      </c>
      <c r="G1160" t="n">
        <v>25.048714</v>
      </c>
      <c r="H1160" t="n">
        <v>121.240041</v>
      </c>
      <c r="I1160" t="n">
        <v>8</v>
      </c>
      <c r="J1160" t="n">
        <v>2</v>
      </c>
      <c r="K1160" t="n">
        <v>172</v>
      </c>
      <c r="L1160" t="inlineStr">
        <is>
          <t>Primary</t>
        </is>
      </c>
    </row>
    <row r="1161">
      <c r="A1161" t="n">
        <v>1</v>
      </c>
      <c r="B1161" s="28" t="inlineStr">
        <is>
          <t>S08</t>
        </is>
      </c>
      <c r="C1161" t="inlineStr">
        <is>
          <t>PZ-D</t>
        </is>
      </c>
      <c r="D1161" t="n">
        <v>13</v>
      </c>
      <c r="E1161" t="inlineStr">
        <is>
          <t>H0104</t>
        </is>
      </c>
      <c r="F1161" t="inlineStr">
        <is>
          <t>桃園市大園區大竹南路937-1號對面(航空城重劃區-地號1068</t>
        </is>
      </c>
      <c r="G1161" t="n">
        <v>25.049397</v>
      </c>
      <c r="H1161" t="n">
        <v>121.240091</v>
      </c>
      <c r="I1161" t="n">
        <v>8</v>
      </c>
      <c r="J1161" t="n">
        <v>2</v>
      </c>
      <c r="K1161" t="n">
        <v>182</v>
      </c>
      <c r="L1161" t="inlineStr">
        <is>
          <t>Primary</t>
        </is>
      </c>
    </row>
    <row r="1162">
      <c r="A1162" t="n">
        <v>1</v>
      </c>
      <c r="B1162" s="28" t="inlineStr">
        <is>
          <t>S08</t>
        </is>
      </c>
      <c r="C1162" t="inlineStr">
        <is>
          <t>PZ-D</t>
        </is>
      </c>
      <c r="D1162" t="n">
        <v>14</v>
      </c>
      <c r="E1162" t="inlineStr">
        <is>
          <t>H0108</t>
        </is>
      </c>
      <c r="F1162" t="inlineStr">
        <is>
          <t>桃園市大園區大竹南路-航空城-822地號</t>
        </is>
      </c>
      <c r="G1162" t="n">
        <v>25.049089</v>
      </c>
      <c r="H1162" t="n">
        <v>121.240825</v>
      </c>
      <c r="I1162" t="n">
        <v>8</v>
      </c>
      <c r="J1162" t="n">
        <v>2</v>
      </c>
      <c r="K1162" t="n">
        <v>192</v>
      </c>
      <c r="L1162" t="inlineStr">
        <is>
          <t>Primary</t>
        </is>
      </c>
    </row>
    <row r="1163">
      <c r="A1163" t="n">
        <v>1</v>
      </c>
      <c r="B1163" s="28" t="inlineStr">
        <is>
          <t>S08</t>
        </is>
      </c>
      <c r="C1163" t="inlineStr">
        <is>
          <t>PZ-D</t>
        </is>
      </c>
      <c r="D1163" t="n">
        <v>15</v>
      </c>
      <c r="E1163" t="inlineStr">
        <is>
          <t>H0101</t>
        </is>
      </c>
      <c r="F1163" t="inlineStr">
        <is>
          <t>桃園市大園區大竹南路81號-航空城重劃區</t>
        </is>
      </c>
      <c r="G1163" t="n">
        <v>25.04891933333333</v>
      </c>
      <c r="H1163" t="n">
        <v>121.240921</v>
      </c>
      <c r="I1163" t="n">
        <v>24</v>
      </c>
      <c r="J1163" t="n">
        <v>2</v>
      </c>
      <c r="K1163" t="n">
        <v>218</v>
      </c>
      <c r="L1163" t="inlineStr">
        <is>
          <t>Primary</t>
        </is>
      </c>
    </row>
    <row r="1164">
      <c r="A1164" t="n">
        <v>1</v>
      </c>
      <c r="B1164" s="28" t="inlineStr">
        <is>
          <t>S08</t>
        </is>
      </c>
      <c r="C1164" t="inlineStr">
        <is>
          <t>PZ-D</t>
        </is>
      </c>
      <c r="D1164" t="n">
        <v>16</v>
      </c>
      <c r="E1164" t="inlineStr">
        <is>
          <t>H0112</t>
        </is>
      </c>
      <c r="F1164" t="inlineStr">
        <is>
          <t>桃園市大園區大竹南路-航空城-福海段948地號</t>
        </is>
      </c>
      <c r="G1164" t="n">
        <v>25.048283</v>
      </c>
      <c r="H1164" t="n">
        <v>121.241094</v>
      </c>
      <c r="I1164" t="n">
        <v>8</v>
      </c>
      <c r="J1164" t="n">
        <v>2</v>
      </c>
      <c r="K1164" t="n">
        <v>228</v>
      </c>
      <c r="L1164" t="inlineStr">
        <is>
          <t>Primary</t>
        </is>
      </c>
    </row>
    <row r="1165">
      <c r="A1165" t="n">
        <v>1</v>
      </c>
      <c r="B1165" s="28" t="inlineStr">
        <is>
          <t>S08</t>
        </is>
      </c>
      <c r="C1165" t="inlineStr">
        <is>
          <t>PZ-D</t>
        </is>
      </c>
      <c r="D1165" t="n">
        <v>17</v>
      </c>
      <c r="E1165" t="inlineStr">
        <is>
          <t>H0105</t>
        </is>
      </c>
      <c r="F1165" t="inlineStr">
        <is>
          <t>桃園市大園區大竹南路937-1號對面(航空城重劃區-地號711</t>
        </is>
      </c>
      <c r="G1165" t="n">
        <v>25.047819</v>
      </c>
      <c r="H1165" t="n">
        <v>121.241316</v>
      </c>
      <c r="I1165" t="n">
        <v>8</v>
      </c>
      <c r="J1165" t="n">
        <v>2</v>
      </c>
      <c r="K1165" t="n">
        <v>238</v>
      </c>
      <c r="L1165" t="inlineStr">
        <is>
          <t>Primary</t>
        </is>
      </c>
    </row>
    <row r="1166">
      <c r="A1166" t="n">
        <v>1</v>
      </c>
      <c r="B1166" s="28" t="inlineStr">
        <is>
          <t>S08</t>
        </is>
      </c>
      <c r="C1166" t="inlineStr">
        <is>
          <t>PZ-D</t>
        </is>
      </c>
      <c r="D1166" t="n">
        <v>18</v>
      </c>
      <c r="E1166" t="inlineStr">
        <is>
          <t>H0103</t>
        </is>
      </c>
      <c r="F1166" t="inlineStr">
        <is>
          <t>桃園市大園區大竹南路81號對面工區大門25°02'49.9"N 121°14'31.7"E</t>
        </is>
      </c>
      <c r="G1166" t="n">
        <v>25.047216</v>
      </c>
      <c r="H1166" t="n">
        <v>121.242108</v>
      </c>
      <c r="I1166" t="n">
        <v>8</v>
      </c>
      <c r="J1166" t="n">
        <v>3</v>
      </c>
      <c r="K1166" t="n">
        <v>249</v>
      </c>
      <c r="L1166" t="inlineStr">
        <is>
          <t>Primary</t>
        </is>
      </c>
    </row>
    <row r="1167">
      <c r="A1167" t="n">
        <v>1</v>
      </c>
      <c r="B1167" s="28" t="inlineStr">
        <is>
          <t>S08</t>
        </is>
      </c>
      <c r="C1167" t="inlineStr">
        <is>
          <t>PZ-D</t>
        </is>
      </c>
      <c r="D1167" t="n">
        <v>19</v>
      </c>
      <c r="E1167" t="inlineStr">
        <is>
          <t>H0106</t>
        </is>
      </c>
      <c r="F1167" t="inlineStr">
        <is>
          <t>桃園市大園區大竹南路-附座標</t>
        </is>
      </c>
      <c r="G1167" t="n">
        <v>25.049347</v>
      </c>
      <c r="H1167" t="n">
        <v>121.241583</v>
      </c>
      <c r="I1167" t="n">
        <v>8</v>
      </c>
      <c r="J1167" t="n">
        <v>3</v>
      </c>
      <c r="K1167" t="n">
        <v>260</v>
      </c>
      <c r="L1167" t="inlineStr">
        <is>
          <t>Primary</t>
        </is>
      </c>
    </row>
    <row r="1168">
      <c r="A1168" t="n">
        <v>1</v>
      </c>
      <c r="B1168" s="28" t="inlineStr">
        <is>
          <t>S08</t>
        </is>
      </c>
      <c r="C1168" t="inlineStr">
        <is>
          <t>PZ-D</t>
        </is>
      </c>
      <c r="D1168" t="n">
        <v>20</v>
      </c>
      <c r="E1168" t="inlineStr">
        <is>
          <t>H0110</t>
        </is>
      </c>
      <c r="F1168" t="inlineStr">
        <is>
          <t>桃園市大園區大竹南路-航空城-富華段372地號</t>
        </is>
      </c>
      <c r="G1168" t="n">
        <v>25.056281</v>
      </c>
      <c r="H1168" t="n">
        <v>121.250431</v>
      </c>
      <c r="I1168" t="n">
        <v>8</v>
      </c>
      <c r="J1168" t="n">
        <v>3</v>
      </c>
      <c r="K1168" t="n">
        <v>271</v>
      </c>
      <c r="L1168" t="inlineStr">
        <is>
          <t>Primary</t>
        </is>
      </c>
    </row>
    <row r="1169">
      <c r="A1169" t="n">
        <v>1</v>
      </c>
      <c r="B1169" s="28" t="inlineStr">
        <is>
          <t>S08</t>
        </is>
      </c>
      <c r="C1169" t="inlineStr">
        <is>
          <t>PZ-D</t>
        </is>
      </c>
      <c r="D1169" t="n">
        <v>21</v>
      </c>
      <c r="E1169" t="inlineStr">
        <is>
          <t>F0168</t>
        </is>
      </c>
      <c r="F1169" t="inlineStr">
        <is>
          <t>新北市林口區下福里-西部濱海公路-附座標</t>
        </is>
      </c>
      <c r="G1169" t="n">
        <v>25.113992</v>
      </c>
      <c r="H1169" t="n">
        <v>121.305269</v>
      </c>
      <c r="I1169" t="n">
        <v>8</v>
      </c>
      <c r="J1169" t="n">
        <v>20.3</v>
      </c>
      <c r="K1169" t="n">
        <v>299.4</v>
      </c>
      <c r="L1169" t="inlineStr">
        <is>
          <t>Primary</t>
        </is>
      </c>
    </row>
    <row r="1170">
      <c r="A1170" t="n">
        <v>1</v>
      </c>
      <c r="B1170" s="28" t="inlineStr">
        <is>
          <t>S08</t>
        </is>
      </c>
      <c r="C1170" t="inlineStr">
        <is>
          <t>PZ-D</t>
        </is>
      </c>
      <c r="D1170" t="n">
        <v>22</v>
      </c>
      <c r="E1170" t="inlineStr">
        <is>
          <t>F0188</t>
        </is>
      </c>
      <c r="F1170" t="inlineStr">
        <is>
          <t>新北市林口區太平里汕頭32號-活動中心</t>
        </is>
      </c>
      <c r="G1170" t="n">
        <v>25.134733</v>
      </c>
      <c r="H1170" t="n">
        <v>121.364294</v>
      </c>
      <c r="I1170" t="n">
        <v>8</v>
      </c>
      <c r="J1170" t="n">
        <v>15.3</v>
      </c>
      <c r="K1170" t="n">
        <v>322.7</v>
      </c>
      <c r="L1170" t="inlineStr">
        <is>
          <t>Primary</t>
        </is>
      </c>
    </row>
    <row r="1171">
      <c r="A1171" t="n">
        <v>1</v>
      </c>
      <c r="B1171" s="28" t="inlineStr">
        <is>
          <t>S08</t>
        </is>
      </c>
      <c r="C1171" t="inlineStr">
        <is>
          <t>PZ-D</t>
        </is>
      </c>
      <c r="D1171" t="n">
        <v>23</v>
      </c>
      <c r="E1171" t="inlineStr">
        <is>
          <t>F0002</t>
        </is>
      </c>
      <c r="F1171" t="inlineStr">
        <is>
          <t>新北市八里區中山路三段409號-八里垃圾焚化廠</t>
        </is>
      </c>
      <c r="G1171" t="n">
        <v>25.136064</v>
      </c>
      <c r="H1171" t="n">
        <v>121.368278</v>
      </c>
      <c r="I1171" t="n">
        <v>8</v>
      </c>
      <c r="J1171" t="n">
        <v>3</v>
      </c>
      <c r="K1171" t="n">
        <v>333.7</v>
      </c>
      <c r="L1171" t="inlineStr">
        <is>
          <t>Primary</t>
        </is>
      </c>
    </row>
    <row r="1172">
      <c r="A1172" t="n">
        <v>1</v>
      </c>
      <c r="B1172" s="28" t="inlineStr">
        <is>
          <t>S08</t>
        </is>
      </c>
      <c r="C1172" t="inlineStr">
        <is>
          <t>PZ-D</t>
        </is>
      </c>
      <c r="D1172" t="n">
        <v>24</v>
      </c>
      <c r="E1172" t="inlineStr">
        <is>
          <t>F0001</t>
        </is>
      </c>
      <c r="F1172" t="inlineStr">
        <is>
          <t>新北市八里區中山路３段409號(八里焚化爐對面)-南堤</t>
        </is>
      </c>
      <c r="G1172" t="n">
        <v>25.14601575</v>
      </c>
      <c r="H1172" t="n">
        <v>121.3714615</v>
      </c>
      <c r="I1172" t="n">
        <v>32</v>
      </c>
      <c r="J1172" t="n">
        <v>3</v>
      </c>
      <c r="K1172" t="n">
        <v>368.7</v>
      </c>
      <c r="L1172" t="inlineStr">
        <is>
          <t>Primary</t>
        </is>
      </c>
    </row>
    <row r="1173">
      <c r="A1173" t="n">
        <v>1</v>
      </c>
      <c r="B1173" s="28" t="inlineStr">
        <is>
          <t>S08</t>
        </is>
      </c>
      <c r="C1173" t="inlineStr">
        <is>
          <t>PZ-D</t>
        </is>
      </c>
      <c r="D1173" t="n">
        <v>25</v>
      </c>
      <c r="E1173" t="inlineStr">
        <is>
          <t>F0006</t>
        </is>
      </c>
      <c r="F1173" t="inlineStr">
        <is>
          <t>新北市八里區台北港區內</t>
        </is>
      </c>
      <c r="G1173" t="n">
        <v>25.150108</v>
      </c>
      <c r="H1173" t="n">
        <v>121.375031</v>
      </c>
      <c r="I1173" t="n">
        <v>16</v>
      </c>
      <c r="J1173" t="n">
        <v>3</v>
      </c>
      <c r="K1173" t="n">
        <v>387.7</v>
      </c>
      <c r="L1173" t="inlineStr">
        <is>
          <t>Primary</t>
        </is>
      </c>
    </row>
    <row r="1174">
      <c r="A1174" t="n">
        <v>1</v>
      </c>
      <c r="B1174" s="28" t="inlineStr">
        <is>
          <t>S08</t>
        </is>
      </c>
      <c r="C1174" t="inlineStr">
        <is>
          <t>PZ-D</t>
        </is>
      </c>
      <c r="D1174" t="n">
        <v>26</v>
      </c>
      <c r="E1174" t="inlineStr">
        <is>
          <t>F0014</t>
        </is>
      </c>
      <c r="F1174" t="inlineStr">
        <is>
          <t>新北市八里區商港路-台北港(型塊-石料堆置區)</t>
        </is>
      </c>
      <c r="G1174" t="n">
        <v>25.157825</v>
      </c>
      <c r="H1174" t="n">
        <v>121.372125</v>
      </c>
      <c r="I1174" t="n">
        <v>16</v>
      </c>
      <c r="J1174" t="n">
        <v>3</v>
      </c>
      <c r="K1174" t="n">
        <v>406.7</v>
      </c>
      <c r="L1174" t="inlineStr">
        <is>
          <t>Primary</t>
        </is>
      </c>
    </row>
    <row r="1175">
      <c r="A1175" t="n">
        <v>1</v>
      </c>
      <c r="B1175" s="28" t="inlineStr">
        <is>
          <t>S08</t>
        </is>
      </c>
      <c r="C1175" t="inlineStr">
        <is>
          <t>PZ-D</t>
        </is>
      </c>
      <c r="D1175" t="n">
        <v>27</v>
      </c>
      <c r="E1175" t="inlineStr">
        <is>
          <t>F0013</t>
        </is>
      </c>
      <c r="F1175" t="inlineStr">
        <is>
          <t>新北市八里區商港路-台北港(沉箱-北內堤沈箱區)</t>
        </is>
      </c>
      <c r="G1175" t="n">
        <v>25.158558</v>
      </c>
      <c r="H1175" t="n">
        <v>121.371686</v>
      </c>
      <c r="I1175" t="n">
        <v>8</v>
      </c>
      <c r="J1175" t="n">
        <v>2</v>
      </c>
      <c r="K1175" t="n">
        <v>416.7</v>
      </c>
      <c r="L1175" t="inlineStr">
        <is>
          <t>Primary</t>
        </is>
      </c>
    </row>
    <row r="1176">
      <c r="A1176" t="n">
        <v>1</v>
      </c>
      <c r="B1176" s="28" t="inlineStr">
        <is>
          <t>S08</t>
        </is>
      </c>
      <c r="C1176" t="inlineStr">
        <is>
          <t>PZ-D</t>
        </is>
      </c>
      <c r="D1176" t="n">
        <v>28</v>
      </c>
      <c r="E1176" t="inlineStr">
        <is>
          <t>F0007</t>
        </is>
      </c>
      <c r="F1176" t="inlineStr">
        <is>
          <t>新北市八里區台北港電聯定位(64下來第1個門3號門等)</t>
        </is>
      </c>
      <c r="G1176" t="n">
        <v>25.163283</v>
      </c>
      <c r="H1176" t="n">
        <v>121.375411</v>
      </c>
      <c r="I1176" t="n">
        <v>8</v>
      </c>
      <c r="J1176" t="n">
        <v>3</v>
      </c>
      <c r="K1176" t="n">
        <v>427.7</v>
      </c>
      <c r="L1176" t="inlineStr">
        <is>
          <t>Primary</t>
        </is>
      </c>
    </row>
    <row r="1177">
      <c r="A1177" t="n">
        <v>1</v>
      </c>
      <c r="B1177" s="28" t="inlineStr">
        <is>
          <t>S08</t>
        </is>
      </c>
      <c r="C1177" t="inlineStr">
        <is>
          <t>PZ-D</t>
        </is>
      </c>
      <c r="D1177" t="n">
        <v>29</v>
      </c>
      <c r="E1177" t="inlineStr">
        <is>
          <t>F0012</t>
        </is>
      </c>
      <c r="F1177" t="inlineStr">
        <is>
          <t>新北市八里區商港路120號-帶定位-要換證-北堤</t>
        </is>
      </c>
      <c r="G1177" t="n">
        <v>25.166253</v>
      </c>
      <c r="H1177" t="n">
        <v>121.381386</v>
      </c>
      <c r="I1177" t="n">
        <v>16</v>
      </c>
      <c r="J1177" t="n">
        <v>3</v>
      </c>
      <c r="K1177" t="n">
        <v>446.7</v>
      </c>
      <c r="L1177" t="inlineStr">
        <is>
          <t>Primary</t>
        </is>
      </c>
    </row>
    <row r="1178">
      <c r="A1178" t="n">
        <v>1</v>
      </c>
      <c r="B1178" s="28" t="inlineStr">
        <is>
          <t>S08</t>
        </is>
      </c>
      <c r="C1178" t="inlineStr">
        <is>
          <t>PZ-D</t>
        </is>
      </c>
      <c r="D1178" t="n">
        <v>30</v>
      </c>
      <c r="E1178" t="inlineStr">
        <is>
          <t>F0011</t>
        </is>
      </c>
      <c r="F1178" t="inlineStr">
        <is>
          <t>新北市八里區商港路120號-帶定位</t>
        </is>
      </c>
      <c r="G1178" t="n">
        <v>25.166714</v>
      </c>
      <c r="H1178" t="n">
        <v>121.382103</v>
      </c>
      <c r="I1178" t="n">
        <v>16</v>
      </c>
      <c r="J1178" t="n">
        <v>2</v>
      </c>
      <c r="K1178" t="n">
        <v>464.7</v>
      </c>
      <c r="L1178" t="inlineStr">
        <is>
          <t>Primary</t>
        </is>
      </c>
    </row>
    <row r="1179">
      <c r="A1179" t="n">
        <v>1</v>
      </c>
      <c r="B1179" s="28" t="inlineStr">
        <is>
          <t>S08</t>
        </is>
      </c>
      <c r="C1179" t="inlineStr">
        <is>
          <t>PZ-D</t>
        </is>
      </c>
      <c r="D1179" t="n">
        <v>31</v>
      </c>
      <c r="E1179" t="inlineStr">
        <is>
          <t>F0003</t>
        </is>
      </c>
      <c r="F1179" t="inlineStr">
        <is>
          <t>新北市八里區中華路２段488號(橘色貨櫃屋)</t>
        </is>
      </c>
      <c r="G1179" t="n">
        <v>25.145761</v>
      </c>
      <c r="H1179" t="n">
        <v>121.400122</v>
      </c>
      <c r="I1179" t="n">
        <v>8</v>
      </c>
      <c r="J1179" t="n">
        <v>7.1</v>
      </c>
      <c r="K1179" t="n">
        <v>479.7</v>
      </c>
      <c r="L1179" t="inlineStr">
        <is>
          <t>Primary</t>
        </is>
      </c>
    </row>
    <row r="1180">
      <c r="A1180" t="n">
        <v>1</v>
      </c>
      <c r="B1180" s="28" t="inlineStr">
        <is>
          <t>S08</t>
        </is>
      </c>
      <c r="C1180" t="inlineStr">
        <is>
          <t>PZ-D</t>
        </is>
      </c>
      <c r="D1180" t="n">
        <v>32</v>
      </c>
      <c r="E1180" t="inlineStr">
        <is>
          <t>F0020</t>
        </is>
      </c>
      <c r="F1180" t="inlineStr">
        <is>
          <t>新北市八里區義民街41號</t>
        </is>
      </c>
      <c r="G1180" t="n">
        <v>25.14233</v>
      </c>
      <c r="H1180" t="n">
        <v>121.394136</v>
      </c>
      <c r="I1180" t="n">
        <v>16</v>
      </c>
      <c r="J1180" t="n">
        <v>3</v>
      </c>
      <c r="K1180" t="n">
        <v>498.7</v>
      </c>
      <c r="L1180" t="inlineStr">
        <is>
          <t>Primary</t>
        </is>
      </c>
    </row>
    <row r="1181">
      <c r="A1181" t="n">
        <v>1</v>
      </c>
      <c r="B1181" s="28" t="inlineStr">
        <is>
          <t>S08</t>
        </is>
      </c>
      <c r="C1181" t="inlineStr">
        <is>
          <t>PZ-A</t>
        </is>
      </c>
      <c r="D1181" t="n">
        <v>33</v>
      </c>
      <c r="E1181" t="inlineStr">
        <is>
          <t>H0867</t>
        </is>
      </c>
      <c r="F1181" t="inlineStr">
        <is>
          <t>桃園市龜山區長慶一街-電聯帶定位</t>
        </is>
      </c>
      <c r="G1181" t="n">
        <v>25.052881</v>
      </c>
      <c r="H1181" t="n">
        <v>121.383722</v>
      </c>
      <c r="I1181" t="n">
        <v>8</v>
      </c>
      <c r="J1181" t="n">
        <v>10</v>
      </c>
      <c r="K1181" t="n">
        <v>516.7</v>
      </c>
      <c r="L1181" s="21" t="inlineStr">
        <is>
          <t>Support</t>
        </is>
      </c>
    </row>
    <row r="1182">
      <c r="A1182" t="n">
        <v>2</v>
      </c>
      <c r="B1182" s="28" t="inlineStr">
        <is>
          <t>S08</t>
        </is>
      </c>
      <c r="C1182" t="inlineStr">
        <is>
          <t>PZ-D</t>
        </is>
      </c>
      <c r="D1182" t="n">
        <v>1</v>
      </c>
      <c r="E1182" t="inlineStr">
        <is>
          <t>F0167</t>
        </is>
      </c>
      <c r="F1182" t="inlineStr">
        <is>
          <t>新北市林口區八德路500巷15號對面</t>
        </is>
      </c>
      <c r="G1182" t="n">
        <v>25.067123</v>
      </c>
      <c r="H1182" t="n">
        <v>121.356581</v>
      </c>
      <c r="I1182" t="n">
        <v>8</v>
      </c>
      <c r="J1182" t="n">
        <v>22.1</v>
      </c>
      <c r="K1182" t="n">
        <v>30.1</v>
      </c>
      <c r="L1182" t="inlineStr">
        <is>
          <t>Primary</t>
        </is>
      </c>
    </row>
    <row r="1183">
      <c r="A1183" t="n">
        <v>2</v>
      </c>
      <c r="B1183" s="28" t="inlineStr">
        <is>
          <t>S08</t>
        </is>
      </c>
      <c r="C1183" t="inlineStr">
        <is>
          <t>PZ-D</t>
        </is>
      </c>
      <c r="D1183" t="n">
        <v>2</v>
      </c>
      <c r="E1183" t="inlineStr">
        <is>
          <t>F0195</t>
        </is>
      </c>
      <c r="F1183" t="inlineStr">
        <is>
          <t>新北市林口區文化三路一段與忠孝三路(三井停車場)-電聯</t>
        </is>
      </c>
      <c r="G1183" t="n">
        <v>25.068667</v>
      </c>
      <c r="H1183" t="n">
        <v>121.362139</v>
      </c>
      <c r="I1183" t="n">
        <v>8</v>
      </c>
      <c r="J1183" t="n">
        <v>3</v>
      </c>
      <c r="K1183" t="n">
        <v>41.1</v>
      </c>
      <c r="L1183" t="inlineStr">
        <is>
          <t>Primary</t>
        </is>
      </c>
    </row>
    <row r="1184">
      <c r="A1184" t="n">
        <v>2</v>
      </c>
      <c r="B1184" s="28" t="inlineStr">
        <is>
          <t>S08</t>
        </is>
      </c>
      <c r="C1184" t="inlineStr">
        <is>
          <t>PZ-D</t>
        </is>
      </c>
      <c r="D1184" t="n">
        <v>3</v>
      </c>
      <c r="E1184" t="inlineStr">
        <is>
          <t>F0186</t>
        </is>
      </c>
      <c r="F1184" t="inlineStr">
        <is>
          <t>新北市林口區公園路13號旁</t>
        </is>
      </c>
      <c r="G1184" t="n">
        <v>25.066739</v>
      </c>
      <c r="H1184" t="n">
        <v>121.366264</v>
      </c>
      <c r="I1184" t="n">
        <v>8</v>
      </c>
      <c r="J1184" t="n">
        <v>3</v>
      </c>
      <c r="K1184" t="n">
        <v>52.1</v>
      </c>
      <c r="L1184" t="inlineStr">
        <is>
          <t>Primary</t>
        </is>
      </c>
    </row>
    <row r="1185">
      <c r="A1185" t="n">
        <v>2</v>
      </c>
      <c r="B1185" s="28" t="inlineStr">
        <is>
          <t>S08</t>
        </is>
      </c>
      <c r="C1185" t="inlineStr">
        <is>
          <t>PZ-D</t>
        </is>
      </c>
      <c r="D1185" t="n">
        <v>4</v>
      </c>
      <c r="E1185" t="inlineStr">
        <is>
          <t>F0206</t>
        </is>
      </c>
      <c r="F1185" t="inlineStr">
        <is>
          <t>新北市林口區民族路192號旁工地</t>
        </is>
      </c>
      <c r="G1185" t="n">
        <v>25.076736</v>
      </c>
      <c r="H1185" t="n">
        <v>121.3686</v>
      </c>
      <c r="I1185" t="n">
        <v>8</v>
      </c>
      <c r="J1185" t="n">
        <v>3</v>
      </c>
      <c r="K1185" t="n">
        <v>63.1</v>
      </c>
      <c r="L1185" t="inlineStr">
        <is>
          <t>Primary</t>
        </is>
      </c>
    </row>
    <row r="1186">
      <c r="A1186" t="n">
        <v>2</v>
      </c>
      <c r="B1186" s="28" t="inlineStr">
        <is>
          <t>S08</t>
        </is>
      </c>
      <c r="C1186" t="inlineStr">
        <is>
          <t>PZ-D</t>
        </is>
      </c>
      <c r="D1186" t="n">
        <v>5</v>
      </c>
      <c r="E1186" t="inlineStr">
        <is>
          <t>F0197</t>
        </is>
      </c>
      <c r="F1186" t="inlineStr">
        <is>
          <t>新北市林口區文化三路二段41巷35號對面</t>
        </is>
      </c>
      <c r="G1186" t="n">
        <v>25.079548</v>
      </c>
      <c r="H1186" t="n">
        <v>121.372067</v>
      </c>
      <c r="I1186" t="n">
        <v>8</v>
      </c>
      <c r="J1186" t="n">
        <v>3</v>
      </c>
      <c r="K1186" t="n">
        <v>74.09999999999999</v>
      </c>
      <c r="L1186" t="inlineStr">
        <is>
          <t>Primary</t>
        </is>
      </c>
    </row>
    <row r="1187">
      <c r="A1187" t="n">
        <v>2</v>
      </c>
      <c r="B1187" s="28" t="inlineStr">
        <is>
          <t>S08</t>
        </is>
      </c>
      <c r="C1187" t="inlineStr">
        <is>
          <t>PZ-D</t>
        </is>
      </c>
      <c r="D1187" t="n">
        <v>6</v>
      </c>
      <c r="E1187" t="inlineStr">
        <is>
          <t>F0207</t>
        </is>
      </c>
      <c r="F1187" t="inlineStr">
        <is>
          <t>新北市林口區吉祥路工地</t>
        </is>
      </c>
      <c r="G1187" t="n">
        <v>25.079898</v>
      </c>
      <c r="H1187" t="n">
        <v>121.375578</v>
      </c>
      <c r="I1187" t="n">
        <v>8</v>
      </c>
      <c r="J1187" t="n">
        <v>3</v>
      </c>
      <c r="K1187" t="n">
        <v>85.09999999999999</v>
      </c>
      <c r="L1187" t="inlineStr">
        <is>
          <t>Primary</t>
        </is>
      </c>
    </row>
    <row r="1188">
      <c r="A1188" t="n">
        <v>2</v>
      </c>
      <c r="B1188" s="28" t="inlineStr">
        <is>
          <t>S08</t>
        </is>
      </c>
      <c r="C1188" t="inlineStr">
        <is>
          <t>PZ-D</t>
        </is>
      </c>
      <c r="D1188" t="n">
        <v>7</v>
      </c>
      <c r="E1188" t="inlineStr">
        <is>
          <t>F0217</t>
        </is>
      </c>
      <c r="F1188" t="inlineStr">
        <is>
          <t>新北市林口區信義路&amp;吉祥路交叉口-洗車場</t>
        </is>
      </c>
      <c r="G1188" t="n">
        <v>25.081039</v>
      </c>
      <c r="H1188" t="n">
        <v>121.376661</v>
      </c>
      <c r="I1188" t="n">
        <v>8</v>
      </c>
      <c r="J1188" t="n">
        <v>3</v>
      </c>
      <c r="K1188" t="n">
        <v>96.09999999999999</v>
      </c>
      <c r="L1188" t="inlineStr">
        <is>
          <t>Primary</t>
        </is>
      </c>
    </row>
    <row r="1189">
      <c r="A1189" t="n">
        <v>2</v>
      </c>
      <c r="B1189" s="28" t="inlineStr">
        <is>
          <t>S08</t>
        </is>
      </c>
      <c r="C1189" t="inlineStr">
        <is>
          <t>PZ-D</t>
        </is>
      </c>
      <c r="D1189" t="n">
        <v>8</v>
      </c>
      <c r="E1189" t="inlineStr">
        <is>
          <t>F0203</t>
        </is>
      </c>
      <c r="F1189" t="inlineStr">
        <is>
          <t>新北市林口區文林二街85號旁</t>
        </is>
      </c>
      <c r="G1189" t="n">
        <v>25.0869</v>
      </c>
      <c r="H1189" t="n">
        <v>121.375514</v>
      </c>
      <c r="I1189" t="n">
        <v>8</v>
      </c>
      <c r="J1189" t="n">
        <v>3</v>
      </c>
      <c r="K1189" t="n">
        <v>107.1</v>
      </c>
      <c r="L1189" t="inlineStr">
        <is>
          <t>Primary</t>
        </is>
      </c>
    </row>
    <row r="1190">
      <c r="A1190" t="n">
        <v>2</v>
      </c>
      <c r="B1190" s="28" t="inlineStr">
        <is>
          <t>S08</t>
        </is>
      </c>
      <c r="C1190" t="inlineStr">
        <is>
          <t>PZ-D</t>
        </is>
      </c>
      <c r="D1190" t="n">
        <v>9</v>
      </c>
      <c r="E1190" t="inlineStr">
        <is>
          <t>F0222</t>
        </is>
      </c>
      <c r="F1190" t="inlineStr">
        <is>
          <t>新北市林口區湖南里-林口工一工業區-25°05'07.0"N 121°22'12.7"E</t>
        </is>
      </c>
      <c r="G1190" t="n">
        <v>25.085277</v>
      </c>
      <c r="H1190" t="n">
        <v>121.370278</v>
      </c>
      <c r="I1190" t="n">
        <v>8</v>
      </c>
      <c r="J1190" t="n">
        <v>3</v>
      </c>
      <c r="K1190" t="n">
        <v>118.1</v>
      </c>
      <c r="L1190" t="inlineStr">
        <is>
          <t>Primary</t>
        </is>
      </c>
    </row>
    <row r="1191">
      <c r="A1191" t="n">
        <v>2</v>
      </c>
      <c r="B1191" s="28" t="inlineStr">
        <is>
          <t>S08</t>
        </is>
      </c>
      <c r="C1191" t="inlineStr">
        <is>
          <t>PZ-D</t>
        </is>
      </c>
      <c r="D1191" t="n">
        <v>10</v>
      </c>
      <c r="E1191" t="inlineStr">
        <is>
          <t>F0201</t>
        </is>
      </c>
      <c r="F1191" t="inlineStr">
        <is>
          <t>新北市林口區文化北路二段550巷19弄</t>
        </is>
      </c>
      <c r="G1191" t="n">
        <v>25.092489</v>
      </c>
      <c r="H1191" t="n">
        <v>121.378814</v>
      </c>
      <c r="I1191" t="n">
        <v>16</v>
      </c>
      <c r="J1191" t="n">
        <v>3</v>
      </c>
      <c r="K1191" t="n">
        <v>137.1</v>
      </c>
      <c r="L1191" t="inlineStr">
        <is>
          <t>Primary</t>
        </is>
      </c>
    </row>
    <row r="1192">
      <c r="A1192" t="n">
        <v>2</v>
      </c>
      <c r="B1192" s="28" t="inlineStr">
        <is>
          <t>S08</t>
        </is>
      </c>
      <c r="C1192" t="inlineStr">
        <is>
          <t>PZ-D</t>
        </is>
      </c>
      <c r="D1192" t="n">
        <v>11</v>
      </c>
      <c r="E1192" t="inlineStr">
        <is>
          <t>F0223</t>
        </is>
      </c>
      <c r="F1192" t="inlineStr">
        <is>
          <t>新北市林口區菁埔路1-58號</t>
        </is>
      </c>
      <c r="G1192" t="n">
        <v>25.096608</v>
      </c>
      <c r="H1192" t="n">
        <v>121.38085</v>
      </c>
      <c r="I1192" t="n">
        <v>16</v>
      </c>
      <c r="J1192" t="n">
        <v>3</v>
      </c>
      <c r="K1192" t="n">
        <v>156.1</v>
      </c>
      <c r="L1192" t="inlineStr">
        <is>
          <t>Primary</t>
        </is>
      </c>
    </row>
    <row r="1193">
      <c r="A1193" t="n">
        <v>2</v>
      </c>
      <c r="B1193" s="28" t="inlineStr">
        <is>
          <t>S08</t>
        </is>
      </c>
      <c r="C1193" t="inlineStr">
        <is>
          <t>PZ-D</t>
        </is>
      </c>
      <c r="D1193" t="n">
        <v>12</v>
      </c>
      <c r="E1193" t="inlineStr">
        <is>
          <t>F0174</t>
        </is>
      </c>
      <c r="F1193" t="inlineStr">
        <is>
          <t>新北市林口區中湖路-附座標</t>
        </is>
      </c>
      <c r="G1193" t="n">
        <v>25.098489</v>
      </c>
      <c r="H1193" t="n">
        <v>121.382317</v>
      </c>
      <c r="I1193" t="n">
        <v>8</v>
      </c>
      <c r="J1193" t="n">
        <v>3</v>
      </c>
      <c r="K1193" t="n">
        <v>167.1</v>
      </c>
      <c r="L1193" t="inlineStr">
        <is>
          <t>Primary</t>
        </is>
      </c>
    </row>
    <row r="1194">
      <c r="A1194" t="n">
        <v>2</v>
      </c>
      <c r="B1194" s="28" t="inlineStr">
        <is>
          <t>S08</t>
        </is>
      </c>
      <c r="C1194" t="inlineStr">
        <is>
          <t>PZ-D</t>
        </is>
      </c>
      <c r="D1194" t="n">
        <v>13</v>
      </c>
      <c r="E1194" t="inlineStr">
        <is>
          <t>F0224</t>
        </is>
      </c>
      <c r="F1194" t="inlineStr">
        <is>
          <t>新北市林口區菁埔路39之3號</t>
        </is>
      </c>
      <c r="G1194" t="n">
        <v>25.097439</v>
      </c>
      <c r="H1194" t="n">
        <v>121.374567</v>
      </c>
      <c r="I1194" t="n">
        <v>16</v>
      </c>
      <c r="J1194" t="n">
        <v>3</v>
      </c>
      <c r="K1194" t="n">
        <v>186.1</v>
      </c>
      <c r="L1194" t="inlineStr">
        <is>
          <t>Primary</t>
        </is>
      </c>
    </row>
    <row r="1195">
      <c r="A1195" t="n">
        <v>2</v>
      </c>
      <c r="B1195" s="28" t="inlineStr">
        <is>
          <t>S08</t>
        </is>
      </c>
      <c r="C1195" t="inlineStr">
        <is>
          <t>PZ-D</t>
        </is>
      </c>
      <c r="D1195" t="n">
        <v>14</v>
      </c>
      <c r="E1195" t="inlineStr">
        <is>
          <t>F0208</t>
        </is>
      </c>
      <c r="F1195" t="inlineStr">
        <is>
          <t>新北市林口區佳林路&amp;中正路邊</t>
        </is>
      </c>
      <c r="G1195" t="n">
        <v>25.077731</v>
      </c>
      <c r="H1195" t="n">
        <v>121.384894</v>
      </c>
      <c r="I1195" t="n">
        <v>16</v>
      </c>
      <c r="J1195" t="n">
        <v>5.8</v>
      </c>
      <c r="K1195" t="n">
        <v>207.9</v>
      </c>
      <c r="L1195" t="inlineStr">
        <is>
          <t>Primary</t>
        </is>
      </c>
    </row>
    <row r="1196">
      <c r="A1196" t="n">
        <v>2</v>
      </c>
      <c r="B1196" s="28" t="inlineStr">
        <is>
          <t>S08</t>
        </is>
      </c>
      <c r="C1196" t="inlineStr">
        <is>
          <t>PZ-D</t>
        </is>
      </c>
      <c r="D1196" t="n">
        <v>15</v>
      </c>
      <c r="E1196" t="inlineStr">
        <is>
          <t>F0205</t>
        </is>
      </c>
      <c r="F1196" t="inlineStr">
        <is>
          <t>新北市林口區四維路245巷39號旁</t>
        </is>
      </c>
      <c r="G1196" t="n">
        <v>25.075092</v>
      </c>
      <c r="H1196" t="n">
        <v>121.3820975</v>
      </c>
      <c r="I1196" t="n">
        <v>16</v>
      </c>
      <c r="J1196" t="n">
        <v>3</v>
      </c>
      <c r="K1196" t="n">
        <v>226.9</v>
      </c>
      <c r="L1196" t="inlineStr">
        <is>
          <t>Primary</t>
        </is>
      </c>
    </row>
    <row r="1197">
      <c r="A1197" t="n">
        <v>2</v>
      </c>
      <c r="B1197" s="28" t="inlineStr">
        <is>
          <t>S08</t>
        </is>
      </c>
      <c r="C1197" t="inlineStr">
        <is>
          <t>PZ-D</t>
        </is>
      </c>
      <c r="D1197" t="n">
        <v>16</v>
      </c>
      <c r="E1197" t="inlineStr">
        <is>
          <t>F0213</t>
        </is>
      </c>
      <c r="F1197" t="inlineStr">
        <is>
          <t>新北市林口區東湖路153巷13號巷子左轉右邊第二個工地</t>
        </is>
      </c>
      <c r="G1197" t="n">
        <v>25.072309</v>
      </c>
      <c r="H1197" t="n">
        <v>121.382556</v>
      </c>
      <c r="I1197" t="n">
        <v>8</v>
      </c>
      <c r="J1197" t="n">
        <v>3</v>
      </c>
      <c r="K1197" t="n">
        <v>237.9</v>
      </c>
      <c r="L1197" t="inlineStr">
        <is>
          <t>Primary</t>
        </is>
      </c>
    </row>
    <row r="1198">
      <c r="A1198" t="n">
        <v>2</v>
      </c>
      <c r="B1198" s="28" t="inlineStr">
        <is>
          <t>S08</t>
        </is>
      </c>
      <c r="C1198" t="inlineStr">
        <is>
          <t>PZ-D</t>
        </is>
      </c>
      <c r="D1198" t="n">
        <v>17</v>
      </c>
      <c r="E1198" t="inlineStr">
        <is>
          <t>F0211</t>
        </is>
      </c>
      <c r="F1198" t="inlineStr">
        <is>
          <t>新北市林口區東明一街15巷15號</t>
        </is>
      </c>
      <c r="G1198" t="n">
        <v>25.071731</v>
      </c>
      <c r="H1198" t="n">
        <v>121.393366</v>
      </c>
      <c r="I1198" t="n">
        <v>8</v>
      </c>
      <c r="J1198" t="n">
        <v>3</v>
      </c>
      <c r="K1198" t="n">
        <v>248.9</v>
      </c>
      <c r="L1198" t="inlineStr">
        <is>
          <t>Primary</t>
        </is>
      </c>
    </row>
    <row r="1199">
      <c r="A1199" t="n">
        <v>2</v>
      </c>
      <c r="B1199" s="28" t="inlineStr">
        <is>
          <t>S08</t>
        </is>
      </c>
      <c r="C1199" t="inlineStr">
        <is>
          <t>PZ-D</t>
        </is>
      </c>
      <c r="D1199" t="n">
        <v>18</v>
      </c>
      <c r="E1199" t="inlineStr">
        <is>
          <t>F0185</t>
        </is>
      </c>
      <c r="F1199" t="inlineStr">
        <is>
          <t>新北市林口區仁愛路一段與83巷交叉口</t>
        </is>
      </c>
      <c r="G1199" t="n">
        <v>25.069911</v>
      </c>
      <c r="H1199" t="n">
        <v>121.396722</v>
      </c>
      <c r="I1199" t="n">
        <v>8</v>
      </c>
      <c r="J1199" t="n">
        <v>3</v>
      </c>
      <c r="K1199" t="n">
        <v>259.9</v>
      </c>
      <c r="L1199" t="inlineStr">
        <is>
          <t>Primary</t>
        </is>
      </c>
    </row>
    <row r="1200">
      <c r="A1200" t="n">
        <v>2</v>
      </c>
      <c r="B1200" s="28" t="inlineStr">
        <is>
          <t>S08</t>
        </is>
      </c>
      <c r="C1200" t="inlineStr">
        <is>
          <t>PZ-D</t>
        </is>
      </c>
      <c r="D1200" t="n">
        <v>19</v>
      </c>
      <c r="E1200" t="inlineStr">
        <is>
          <t>F0183</t>
        </is>
      </c>
      <c r="F1200" t="inlineStr">
        <is>
          <t>新北市林口區仁愛路一段61巷17號旁</t>
        </is>
      </c>
      <c r="G1200" t="n">
        <v>25.069592</v>
      </c>
      <c r="H1200" t="n">
        <v>121.397575</v>
      </c>
      <c r="I1200" t="n">
        <v>8</v>
      </c>
      <c r="J1200" t="n">
        <v>2</v>
      </c>
      <c r="K1200" t="n">
        <v>269.9</v>
      </c>
      <c r="L1200" t="inlineStr">
        <is>
          <t>Primary</t>
        </is>
      </c>
    </row>
    <row r="1201">
      <c r="A1201" t="n">
        <v>2</v>
      </c>
      <c r="B1201" s="28" t="inlineStr">
        <is>
          <t>S08</t>
        </is>
      </c>
      <c r="C1201" t="inlineStr">
        <is>
          <t>PZ-D</t>
        </is>
      </c>
      <c r="D1201" t="n">
        <v>20</v>
      </c>
      <c r="E1201" t="inlineStr">
        <is>
          <t>F0177</t>
        </is>
      </c>
      <c r="F1201" t="inlineStr">
        <is>
          <t>新北市林口區仁愛路一段123巷口</t>
        </is>
      </c>
      <c r="G1201" t="n">
        <v>25.07115</v>
      </c>
      <c r="H1201" t="n">
        <v>121.39848</v>
      </c>
      <c r="I1201" t="n">
        <v>8</v>
      </c>
      <c r="J1201" t="n">
        <v>3</v>
      </c>
      <c r="K1201" t="n">
        <v>280.9</v>
      </c>
      <c r="L1201" t="inlineStr">
        <is>
          <t>Primary</t>
        </is>
      </c>
    </row>
    <row r="1202">
      <c r="A1202" t="n">
        <v>2</v>
      </c>
      <c r="B1202" s="28" t="inlineStr">
        <is>
          <t>S08</t>
        </is>
      </c>
      <c r="C1202" t="inlineStr">
        <is>
          <t>PZ-D</t>
        </is>
      </c>
      <c r="D1202" t="n">
        <v>21</v>
      </c>
      <c r="E1202" t="inlineStr">
        <is>
          <t>F0179</t>
        </is>
      </c>
      <c r="F1202" t="inlineStr">
        <is>
          <t>新北市林口區仁愛路一段261巷21號旁</t>
        </is>
      </c>
      <c r="G1202" t="n">
        <v>25.074478</v>
      </c>
      <c r="H1202" t="n">
        <v>121.397222</v>
      </c>
      <c r="I1202" t="n">
        <v>8</v>
      </c>
      <c r="J1202" t="n">
        <v>3</v>
      </c>
      <c r="K1202" t="n">
        <v>291.9</v>
      </c>
      <c r="L1202" t="inlineStr">
        <is>
          <t>Primary</t>
        </is>
      </c>
    </row>
    <row r="1203">
      <c r="A1203" t="n">
        <v>2</v>
      </c>
      <c r="B1203" s="28" t="inlineStr">
        <is>
          <t>S08</t>
        </is>
      </c>
      <c r="C1203" t="inlineStr">
        <is>
          <t>PZ-D</t>
        </is>
      </c>
      <c r="D1203" t="n">
        <v>22</v>
      </c>
      <c r="E1203" t="inlineStr">
        <is>
          <t>F0180</t>
        </is>
      </c>
      <c r="F1203" t="inlineStr">
        <is>
          <t>新北市林口區仁愛路一段335巷工地</t>
        </is>
      </c>
      <c r="G1203" t="n">
        <v>25.075756</v>
      </c>
      <c r="H1203" t="n">
        <v>121.393814</v>
      </c>
      <c r="I1203" t="n">
        <v>8</v>
      </c>
      <c r="J1203" t="n">
        <v>3</v>
      </c>
      <c r="K1203" t="n">
        <v>302.9</v>
      </c>
      <c r="L1203" t="inlineStr">
        <is>
          <t>Primary</t>
        </is>
      </c>
    </row>
    <row r="1204">
      <c r="A1204" t="n">
        <v>2</v>
      </c>
      <c r="B1204" s="28" t="inlineStr">
        <is>
          <t>S08</t>
        </is>
      </c>
      <c r="C1204" t="inlineStr">
        <is>
          <t>PZ-D</t>
        </is>
      </c>
      <c r="D1204" t="n">
        <v>23</v>
      </c>
      <c r="E1204" t="inlineStr">
        <is>
          <t>F0170</t>
        </is>
      </c>
      <c r="F1204" t="inlineStr">
        <is>
          <t>新北市林口區工四路20號</t>
        </is>
      </c>
      <c r="G1204" t="n">
        <v>25.079473</v>
      </c>
      <c r="H1204" t="n">
        <v>121.402706</v>
      </c>
      <c r="I1204" t="n">
        <v>8</v>
      </c>
      <c r="J1204" t="n">
        <v>3</v>
      </c>
      <c r="K1204" t="n">
        <v>313.9</v>
      </c>
      <c r="L1204" t="inlineStr">
        <is>
          <t>Primary</t>
        </is>
      </c>
    </row>
    <row r="1205">
      <c r="A1205" t="n">
        <v>2</v>
      </c>
      <c r="B1205" s="28" t="inlineStr">
        <is>
          <t>S08</t>
        </is>
      </c>
      <c r="C1205" t="inlineStr">
        <is>
          <t>PZ-D</t>
        </is>
      </c>
      <c r="D1205" t="n">
        <v>24</v>
      </c>
      <c r="E1205" t="inlineStr">
        <is>
          <t>F0021</t>
        </is>
      </c>
      <c r="F1205" t="inlineStr">
        <is>
          <t>新北市八里區龍米路一段197號</t>
        </is>
      </c>
      <c r="G1205" t="n">
        <v>25.131211</v>
      </c>
      <c r="H1205" t="n">
        <v>121.4514</v>
      </c>
      <c r="I1205" t="n">
        <v>8</v>
      </c>
      <c r="J1205" t="n">
        <v>18.1</v>
      </c>
      <c r="K1205" t="n">
        <v>340.1</v>
      </c>
      <c r="L1205" t="inlineStr">
        <is>
          <t>Primary</t>
        </is>
      </c>
    </row>
    <row r="1206">
      <c r="A1206" t="n">
        <v>2</v>
      </c>
      <c r="B1206" s="28" t="inlineStr">
        <is>
          <t>S08</t>
        </is>
      </c>
      <c r="C1206" t="inlineStr">
        <is>
          <t>PZ-D</t>
        </is>
      </c>
      <c r="D1206" t="n">
        <v>25</v>
      </c>
      <c r="E1206" t="inlineStr">
        <is>
          <t>F0004</t>
        </is>
      </c>
      <c r="F1206" t="inlineStr">
        <is>
          <t>新北市八里區仁愛路70號隔壁工地</t>
        </is>
      </c>
      <c r="G1206" t="n">
        <v>25.160178</v>
      </c>
      <c r="H1206" t="n">
        <v>121.411819</v>
      </c>
      <c r="I1206" t="n">
        <v>8</v>
      </c>
      <c r="J1206" t="n">
        <v>12.3</v>
      </c>
      <c r="K1206" t="n">
        <v>360.4</v>
      </c>
      <c r="L1206" t="inlineStr">
        <is>
          <t>Primary</t>
        </is>
      </c>
    </row>
    <row r="1207">
      <c r="A1207" t="n">
        <v>2</v>
      </c>
      <c r="B1207" s="28" t="inlineStr">
        <is>
          <t>S08</t>
        </is>
      </c>
      <c r="C1207" t="inlineStr">
        <is>
          <t>PZ-D</t>
        </is>
      </c>
      <c r="D1207" t="n">
        <v>26</v>
      </c>
      <c r="E1207" t="inlineStr">
        <is>
          <t>F0017</t>
        </is>
      </c>
      <c r="F1207" t="inlineStr">
        <is>
          <t>新北市八里區博物館路200號附近-十三行博物館附近</t>
        </is>
      </c>
      <c r="G1207" t="n">
        <v>25.161694</v>
      </c>
      <c r="H1207" t="n">
        <v>121.412397</v>
      </c>
      <c r="I1207" t="n">
        <v>8</v>
      </c>
      <c r="J1207" t="n">
        <v>3</v>
      </c>
      <c r="K1207" t="n">
        <v>371.4</v>
      </c>
      <c r="L1207" t="inlineStr">
        <is>
          <t>Primary</t>
        </is>
      </c>
    </row>
    <row r="1208">
      <c r="A1208" t="n">
        <v>2</v>
      </c>
      <c r="B1208" s="28" t="inlineStr">
        <is>
          <t>S08</t>
        </is>
      </c>
      <c r="C1208" t="inlineStr">
        <is>
          <t>PZ-D</t>
        </is>
      </c>
      <c r="D1208" t="n">
        <v>27</v>
      </c>
      <c r="E1208" t="inlineStr">
        <is>
          <t>F0016</t>
        </is>
      </c>
      <c r="F1208" t="inlineStr">
        <is>
          <t>新北市八里區埤頭里挖子尾街-附地標</t>
        </is>
      </c>
      <c r="G1208" t="n">
        <v>25.168195</v>
      </c>
      <c r="H1208" t="n">
        <v>121.414492</v>
      </c>
      <c r="I1208" t="n">
        <v>16</v>
      </c>
      <c r="J1208" t="n">
        <v>3</v>
      </c>
      <c r="K1208" t="n">
        <v>390.4</v>
      </c>
      <c r="L1208" t="inlineStr">
        <is>
          <t>Primary</t>
        </is>
      </c>
    </row>
    <row r="1209">
      <c r="A1209" t="n">
        <v>2</v>
      </c>
      <c r="B1209" s="28" t="inlineStr">
        <is>
          <t>S08</t>
        </is>
      </c>
      <c r="C1209" t="inlineStr">
        <is>
          <t>PZ-D</t>
        </is>
      </c>
      <c r="D1209" t="n">
        <v>28</v>
      </c>
      <c r="E1209" t="inlineStr">
        <is>
          <t>F0010</t>
        </is>
      </c>
      <c r="F1209" t="inlineStr">
        <is>
          <t>新北市八里區商港路(台北港泛亞)</t>
        </is>
      </c>
      <c r="G1209" t="n">
        <v>25.157789</v>
      </c>
      <c r="H1209" t="n">
        <v>121.391411</v>
      </c>
      <c r="I1209" t="n">
        <v>48</v>
      </c>
      <c r="J1209" t="n">
        <v>6.2</v>
      </c>
      <c r="K1209" t="n">
        <v>444.6</v>
      </c>
      <c r="L1209" t="inlineStr">
        <is>
          <t>Primary</t>
        </is>
      </c>
    </row>
    <row r="1210">
      <c r="A1210" t="n">
        <v>2</v>
      </c>
      <c r="B1210" s="28" t="inlineStr">
        <is>
          <t>S08</t>
        </is>
      </c>
      <c r="C1210" t="inlineStr">
        <is>
          <t>PZ-D</t>
        </is>
      </c>
      <c r="D1210" t="n">
        <v>29</v>
      </c>
      <c r="E1210" t="inlineStr">
        <is>
          <t>A0020</t>
        </is>
      </c>
      <c r="F1210" t="inlineStr">
        <is>
          <t>臺北市士林區永平街與社中街口</t>
        </is>
      </c>
      <c r="G1210" t="n">
        <v>25.09203</v>
      </c>
      <c r="H1210" t="n">
        <v>121.505117</v>
      </c>
      <c r="I1210" t="n">
        <v>37</v>
      </c>
      <c r="J1210" t="n">
        <v>13.6</v>
      </c>
      <c r="K1210" t="n">
        <v>495.2</v>
      </c>
      <c r="L1210" t="inlineStr">
        <is>
          <t>Primary</t>
        </is>
      </c>
    </row>
    <row r="1211">
      <c r="A1211" t="n">
        <v>2</v>
      </c>
      <c r="B1211" s="28" t="inlineStr">
        <is>
          <t>S08</t>
        </is>
      </c>
      <c r="C1211" t="inlineStr">
        <is>
          <t>PZ-B</t>
        </is>
      </c>
      <c r="D1211" t="n">
        <v>30</v>
      </c>
      <c r="E1211" t="inlineStr">
        <is>
          <t>H0037</t>
        </is>
      </c>
      <c r="F1211" t="inlineStr">
        <is>
          <t>桃園市八德區後庄街51號-名超公司</t>
        </is>
      </c>
      <c r="G1211" t="n">
        <v>24.955981</v>
      </c>
      <c r="H1211" t="n">
        <v>121.325409</v>
      </c>
      <c r="I1211" t="n">
        <v>8</v>
      </c>
      <c r="J1211" t="n">
        <v>23.6</v>
      </c>
      <c r="K1211" t="n">
        <v>526.8</v>
      </c>
      <c r="L1211" s="21" t="inlineStr">
        <is>
          <t>Support</t>
        </is>
      </c>
    </row>
    <row r="1212">
      <c r="A1212" t="n">
        <v>3</v>
      </c>
      <c r="B1212" s="28" t="inlineStr">
        <is>
          <t>S08</t>
        </is>
      </c>
      <c r="C1212" t="inlineStr">
        <is>
          <t>PZ-D</t>
        </is>
      </c>
      <c r="D1212" t="n">
        <v>1</v>
      </c>
      <c r="E1212" t="inlineStr">
        <is>
          <t>F0052</t>
        </is>
      </c>
      <c r="F1212" t="inlineStr">
        <is>
          <t>新北市三峽區安坑路27號</t>
        </is>
      </c>
      <c r="G1212" t="n">
        <v>24.928834</v>
      </c>
      <c r="H1212" t="n">
        <v>121.447669</v>
      </c>
      <c r="I1212" t="n">
        <v>8</v>
      </c>
      <c r="J1212" t="n">
        <v>22.4</v>
      </c>
      <c r="K1212" t="n">
        <v>30.4</v>
      </c>
      <c r="L1212" t="inlineStr">
        <is>
          <t>Primary</t>
        </is>
      </c>
    </row>
    <row r="1213">
      <c r="A1213" t="n">
        <v>3</v>
      </c>
      <c r="B1213" s="28" t="inlineStr">
        <is>
          <t>S08</t>
        </is>
      </c>
      <c r="C1213" t="inlineStr">
        <is>
          <t>PZ-D</t>
        </is>
      </c>
      <c r="D1213" t="n">
        <v>2</v>
      </c>
      <c r="E1213" t="inlineStr">
        <is>
          <t>F0086</t>
        </is>
      </c>
      <c r="F1213" t="inlineStr">
        <is>
          <t>新北市土城區青雲路649號</t>
        </is>
      </c>
      <c r="G1213" t="n">
        <v>24.967123</v>
      </c>
      <c r="H1213" t="n">
        <v>121.462219</v>
      </c>
      <c r="I1213" t="n">
        <v>8</v>
      </c>
      <c r="J1213" t="n">
        <v>10.8</v>
      </c>
      <c r="K1213" t="n">
        <v>49.2</v>
      </c>
      <c r="L1213" t="inlineStr">
        <is>
          <t>Primary</t>
        </is>
      </c>
    </row>
    <row r="1214">
      <c r="A1214" t="n">
        <v>3</v>
      </c>
      <c r="B1214" s="28" t="inlineStr">
        <is>
          <t>S08</t>
        </is>
      </c>
      <c r="C1214" t="inlineStr">
        <is>
          <t>PZ-D</t>
        </is>
      </c>
      <c r="D1214" t="n">
        <v>3</v>
      </c>
      <c r="E1214" t="inlineStr">
        <is>
          <t>F0085</t>
        </is>
      </c>
      <c r="F1214" t="inlineStr">
        <is>
          <t>新北市土城區青雲路384號-(青和街1巷旁)</t>
        </is>
      </c>
      <c r="G1214" t="n">
        <v>24.974264</v>
      </c>
      <c r="H1214" t="n">
        <v>121.458319</v>
      </c>
      <c r="I1214" t="n">
        <v>16</v>
      </c>
      <c r="J1214" t="n">
        <v>3</v>
      </c>
      <c r="K1214" t="n">
        <v>68.2</v>
      </c>
      <c r="L1214" t="inlineStr">
        <is>
          <t>Primary</t>
        </is>
      </c>
    </row>
    <row r="1215">
      <c r="A1215" t="n">
        <v>3</v>
      </c>
      <c r="B1215" s="28" t="inlineStr">
        <is>
          <t>S08</t>
        </is>
      </c>
      <c r="C1215" t="inlineStr">
        <is>
          <t>PZ-D</t>
        </is>
      </c>
      <c r="D1215" t="n">
        <v>4</v>
      </c>
      <c r="E1215" t="inlineStr">
        <is>
          <t>F0098</t>
        </is>
      </c>
      <c r="F1215" t="inlineStr">
        <is>
          <t>新北市中和區和城路一段612號(阿昆停車場旁)</t>
        </is>
      </c>
      <c r="G1215" t="n">
        <v>24.991597</v>
      </c>
      <c r="H1215" t="n">
        <v>121.477425</v>
      </c>
      <c r="I1215" t="n">
        <v>8</v>
      </c>
      <c r="J1215" t="n">
        <v>6.5</v>
      </c>
      <c r="K1215" t="n">
        <v>82.8</v>
      </c>
      <c r="L1215" t="inlineStr">
        <is>
          <t>Primary</t>
        </is>
      </c>
    </row>
    <row r="1216">
      <c r="A1216" t="n">
        <v>3</v>
      </c>
      <c r="B1216" s="28" t="inlineStr">
        <is>
          <t>S08</t>
        </is>
      </c>
      <c r="C1216" t="inlineStr">
        <is>
          <t>PZ-D</t>
        </is>
      </c>
      <c r="D1216" t="n">
        <v>5</v>
      </c>
      <c r="E1216" t="inlineStr">
        <is>
          <t>F0094</t>
        </is>
      </c>
      <c r="F1216" t="inlineStr">
        <is>
          <t>新北市中和區立德街26巷5弄口工地-1F 追加</t>
        </is>
      </c>
      <c r="G1216" t="n">
        <v>25.007011</v>
      </c>
      <c r="H1216" t="n">
        <v>121.489905</v>
      </c>
      <c r="I1216" t="n">
        <v>8</v>
      </c>
      <c r="J1216" t="n">
        <v>5.1</v>
      </c>
      <c r="K1216" t="n">
        <v>95.90000000000001</v>
      </c>
      <c r="L1216" t="inlineStr">
        <is>
          <t>Primary</t>
        </is>
      </c>
    </row>
    <row r="1217">
      <c r="A1217" t="n">
        <v>3</v>
      </c>
      <c r="B1217" s="28" t="inlineStr">
        <is>
          <t>S08</t>
        </is>
      </c>
      <c r="C1217" t="inlineStr">
        <is>
          <t>PZ-D</t>
        </is>
      </c>
      <c r="D1217" t="n">
        <v>6</v>
      </c>
      <c r="E1217" t="inlineStr">
        <is>
          <t>F0093</t>
        </is>
      </c>
      <c r="F1217" t="inlineStr">
        <is>
          <t>新北市中和區立德街26巷5弄口工地-1F</t>
        </is>
      </c>
      <c r="G1217" t="n">
        <v>25.007403</v>
      </c>
      <c r="H1217" t="n">
        <v>121.489816</v>
      </c>
      <c r="I1217" t="n">
        <v>8</v>
      </c>
      <c r="J1217" t="n">
        <v>2</v>
      </c>
      <c r="K1217" t="n">
        <v>105.9</v>
      </c>
      <c r="L1217" t="inlineStr">
        <is>
          <t>Primary</t>
        </is>
      </c>
    </row>
    <row r="1218">
      <c r="A1218" t="n">
        <v>3</v>
      </c>
      <c r="B1218" s="28" t="inlineStr">
        <is>
          <t>S08</t>
        </is>
      </c>
      <c r="C1218" t="inlineStr">
        <is>
          <t>PZ-D</t>
        </is>
      </c>
      <c r="D1218" t="n">
        <v>7</v>
      </c>
      <c r="E1218" t="inlineStr">
        <is>
          <t>A0217</t>
        </is>
      </c>
      <c r="F1218" t="inlineStr">
        <is>
          <t>臺北市萬華區萬大路附近-華中橋下-電聯帶定位</t>
        </is>
      </c>
      <c r="G1218" t="n">
        <v>25.016569</v>
      </c>
      <c r="H1218" t="n">
        <v>121.495577</v>
      </c>
      <c r="I1218" t="n">
        <v>32</v>
      </c>
      <c r="J1218" t="n">
        <v>3</v>
      </c>
      <c r="K1218" t="n">
        <v>140.9</v>
      </c>
      <c r="L1218" t="inlineStr">
        <is>
          <t>Primary</t>
        </is>
      </c>
    </row>
    <row r="1219">
      <c r="A1219" t="n">
        <v>3</v>
      </c>
      <c r="B1219" s="28" t="inlineStr">
        <is>
          <t>S08</t>
        </is>
      </c>
      <c r="C1219" t="inlineStr">
        <is>
          <t>PZ-D</t>
        </is>
      </c>
      <c r="D1219" t="n">
        <v>8</v>
      </c>
      <c r="E1219" t="inlineStr">
        <is>
          <t>A0214</t>
        </is>
      </c>
      <c r="F1219" t="inlineStr">
        <is>
          <t>臺北市萬華區長泰街128號-CQ850A</t>
        </is>
      </c>
      <c r="G1219" t="n">
        <v>25.022575</v>
      </c>
      <c r="H1219" t="n">
        <v>121.499114</v>
      </c>
      <c r="I1219" t="n">
        <v>8</v>
      </c>
      <c r="J1219" t="n">
        <v>3</v>
      </c>
      <c r="K1219" t="n">
        <v>151.9</v>
      </c>
      <c r="L1219" t="inlineStr">
        <is>
          <t>Primary</t>
        </is>
      </c>
    </row>
    <row r="1220">
      <c r="A1220" t="n">
        <v>3</v>
      </c>
      <c r="B1220" s="28" t="inlineStr">
        <is>
          <t>S08</t>
        </is>
      </c>
      <c r="C1220" t="inlineStr">
        <is>
          <t>PZ-D</t>
        </is>
      </c>
      <c r="D1220" t="n">
        <v>9</v>
      </c>
      <c r="E1220" t="inlineStr">
        <is>
          <t>A0216</t>
        </is>
      </c>
      <c r="F1220" t="inlineStr">
        <is>
          <t>臺北市萬華區萬大路長泰街口-萬大國小-CQ850A</t>
        </is>
      </c>
      <c r="G1220" t="n">
        <v>25.024007</v>
      </c>
      <c r="H1220" t="n">
        <v>121.5</v>
      </c>
      <c r="I1220" t="n">
        <v>16</v>
      </c>
      <c r="J1220" t="n">
        <v>3</v>
      </c>
      <c r="K1220" t="n">
        <v>170.9</v>
      </c>
      <c r="L1220" t="inlineStr">
        <is>
          <t>Primary</t>
        </is>
      </c>
    </row>
    <row r="1221">
      <c r="A1221" t="n">
        <v>3</v>
      </c>
      <c r="B1221" s="28" t="inlineStr">
        <is>
          <t>S08</t>
        </is>
      </c>
      <c r="C1221" t="inlineStr">
        <is>
          <t>PZ-D</t>
        </is>
      </c>
      <c r="D1221" t="n">
        <v>10</v>
      </c>
      <c r="E1221" t="inlineStr">
        <is>
          <t>A0209</t>
        </is>
      </c>
      <c r="F1221" t="inlineStr">
        <is>
          <t>臺北市萬華區中華路二段150巷29號</t>
        </is>
      </c>
      <c r="G1221" t="n">
        <v>25.030375</v>
      </c>
      <c r="H1221" t="n">
        <v>121.503072</v>
      </c>
      <c r="I1221" t="n">
        <v>8</v>
      </c>
      <c r="J1221" t="n">
        <v>3</v>
      </c>
      <c r="K1221" t="n">
        <v>181.9</v>
      </c>
      <c r="L1221" t="inlineStr">
        <is>
          <t>Primary</t>
        </is>
      </c>
    </row>
    <row r="1222">
      <c r="A1222" t="n">
        <v>3</v>
      </c>
      <c r="B1222" s="28" t="inlineStr">
        <is>
          <t>S08</t>
        </is>
      </c>
      <c r="C1222" t="inlineStr">
        <is>
          <t>PZ-D</t>
        </is>
      </c>
      <c r="D1222" t="n">
        <v>11</v>
      </c>
      <c r="E1222" t="inlineStr">
        <is>
          <t>A0215</t>
        </is>
      </c>
      <c r="F1222" t="inlineStr">
        <is>
          <t>臺北市萬華區長順街2號-大理高中</t>
        </is>
      </c>
      <c r="G1222" t="n">
        <v>25.030517</v>
      </c>
      <c r="H1222" t="n">
        <v>121.491844</v>
      </c>
      <c r="I1222" t="n">
        <v>8</v>
      </c>
      <c r="J1222" t="n">
        <v>3</v>
      </c>
      <c r="K1222" t="n">
        <v>192.9</v>
      </c>
      <c r="L1222" t="inlineStr">
        <is>
          <t>Primary</t>
        </is>
      </c>
    </row>
    <row r="1223">
      <c r="A1223" t="n">
        <v>3</v>
      </c>
      <c r="B1223" s="28" t="inlineStr">
        <is>
          <t>S08</t>
        </is>
      </c>
      <c r="C1223" t="inlineStr">
        <is>
          <t>PZ-D</t>
        </is>
      </c>
      <c r="D1223" t="n">
        <v>12</v>
      </c>
      <c r="E1223" t="inlineStr">
        <is>
          <t>A0211</t>
        </is>
      </c>
      <c r="F1223" t="inlineStr">
        <is>
          <t>臺北市萬華區西園路２段320巷56弄16-1號(艋舺大道旁)</t>
        </is>
      </c>
      <c r="G1223" t="n">
        <v>25.02782</v>
      </c>
      <c r="H1223" t="n">
        <v>121.490414</v>
      </c>
      <c r="I1223" t="n">
        <v>16</v>
      </c>
      <c r="J1223" t="n">
        <v>3</v>
      </c>
      <c r="K1223" t="n">
        <v>211.9</v>
      </c>
      <c r="L1223" t="inlineStr">
        <is>
          <t>Primary</t>
        </is>
      </c>
    </row>
    <row r="1224">
      <c r="A1224" t="n">
        <v>3</v>
      </c>
      <c r="B1224" s="28" t="inlineStr">
        <is>
          <t>S08</t>
        </is>
      </c>
      <c r="C1224" t="inlineStr">
        <is>
          <t>PZ-D</t>
        </is>
      </c>
      <c r="D1224" t="n">
        <v>13</v>
      </c>
      <c r="E1224" t="inlineStr">
        <is>
          <t>A0212</t>
        </is>
      </c>
      <c r="F1224" t="inlineStr">
        <is>
          <t>臺北市萬華區西園路2段320巷61號(艋舺大道旁)</t>
        </is>
      </c>
      <c r="G1224" t="n">
        <v>25.027414</v>
      </c>
      <c r="H1224" t="n">
        <v>121.490458</v>
      </c>
      <c r="I1224" t="n">
        <v>16</v>
      </c>
      <c r="J1224" t="n">
        <v>2</v>
      </c>
      <c r="K1224" t="n">
        <v>229.9</v>
      </c>
      <c r="L1224" t="inlineStr">
        <is>
          <t>Primary</t>
        </is>
      </c>
    </row>
    <row r="1225">
      <c r="A1225" t="n">
        <v>3</v>
      </c>
      <c r="B1225" s="28" t="inlineStr">
        <is>
          <t>S08</t>
        </is>
      </c>
      <c r="C1225" t="inlineStr">
        <is>
          <t>PZ-D</t>
        </is>
      </c>
      <c r="D1225" t="n">
        <v>14</v>
      </c>
      <c r="E1225" t="inlineStr">
        <is>
          <t>F0124</t>
        </is>
      </c>
      <c r="F1225" t="inlineStr">
        <is>
          <t>新北市永和區保福路二段69號旁</t>
        </is>
      </c>
      <c r="G1225" t="n">
        <v>25.012711</v>
      </c>
      <c r="H1225" t="n">
        <v>121.510683</v>
      </c>
      <c r="I1225" t="n">
        <v>8</v>
      </c>
      <c r="J1225" t="n">
        <v>6.3</v>
      </c>
      <c r="K1225" t="n">
        <v>244.1</v>
      </c>
      <c r="L1225" t="inlineStr">
        <is>
          <t>Primary</t>
        </is>
      </c>
    </row>
    <row r="1226">
      <c r="A1226" t="n">
        <v>3</v>
      </c>
      <c r="B1226" s="28" t="inlineStr">
        <is>
          <t>S08</t>
        </is>
      </c>
      <c r="C1226" t="inlineStr">
        <is>
          <t>PZ-D</t>
        </is>
      </c>
      <c r="D1226" t="n">
        <v>15</v>
      </c>
      <c r="E1226" t="inlineStr">
        <is>
          <t>F0116</t>
        </is>
      </c>
      <c r="F1226" t="inlineStr">
        <is>
          <t>新北市永和區中山路一段36號</t>
        </is>
      </c>
      <c r="G1226" t="n">
        <v>25.0108835</v>
      </c>
      <c r="H1226" t="n">
        <v>121.5136225</v>
      </c>
      <c r="I1226" t="n">
        <v>16</v>
      </c>
      <c r="J1226" t="n">
        <v>3</v>
      </c>
      <c r="K1226" t="n">
        <v>263.1</v>
      </c>
      <c r="L1226" t="inlineStr">
        <is>
          <t>Primary</t>
        </is>
      </c>
    </row>
    <row r="1227">
      <c r="A1227" t="n">
        <v>3</v>
      </c>
      <c r="B1227" s="28" t="inlineStr">
        <is>
          <t>S08</t>
        </is>
      </c>
      <c r="C1227" t="inlineStr">
        <is>
          <t>PZ-D</t>
        </is>
      </c>
      <c r="D1227" t="n">
        <v>16</v>
      </c>
      <c r="E1227" t="inlineStr">
        <is>
          <t>F0121</t>
        </is>
      </c>
      <c r="F1227" t="inlineStr">
        <is>
          <t>新北市永和區永貞路273號</t>
        </is>
      </c>
      <c r="G1227" t="n">
        <v>25.005042</v>
      </c>
      <c r="H1227" t="n">
        <v>121.511572</v>
      </c>
      <c r="I1227" t="n">
        <v>8</v>
      </c>
      <c r="J1227" t="n">
        <v>3</v>
      </c>
      <c r="K1227" t="n">
        <v>274.1</v>
      </c>
      <c r="L1227" t="inlineStr">
        <is>
          <t>Primary</t>
        </is>
      </c>
    </row>
    <row r="1228">
      <c r="A1228" t="n">
        <v>3</v>
      </c>
      <c r="B1228" s="28" t="inlineStr">
        <is>
          <t>S08</t>
        </is>
      </c>
      <c r="C1228" t="inlineStr">
        <is>
          <t>PZ-D</t>
        </is>
      </c>
      <c r="D1228" t="n">
        <v>17</v>
      </c>
      <c r="E1228" t="inlineStr">
        <is>
          <t>F0096</t>
        </is>
      </c>
      <c r="F1228" t="inlineStr">
        <is>
          <t>新北市中和區安樂路-四號公園(八二三紀念公園)</t>
        </is>
      </c>
      <c r="G1228" t="n">
        <v>25.002761</v>
      </c>
      <c r="H1228" t="n">
        <v>121.514803</v>
      </c>
      <c r="I1228" t="n">
        <v>8</v>
      </c>
      <c r="J1228" t="n">
        <v>3</v>
      </c>
      <c r="K1228" t="n">
        <v>285.1</v>
      </c>
      <c r="L1228" t="inlineStr">
        <is>
          <t>Primary</t>
        </is>
      </c>
    </row>
    <row r="1229">
      <c r="A1229" t="n">
        <v>3</v>
      </c>
      <c r="B1229" s="28" t="inlineStr">
        <is>
          <t>S08</t>
        </is>
      </c>
      <c r="C1229" t="inlineStr">
        <is>
          <t>PZ-D</t>
        </is>
      </c>
      <c r="D1229" t="n">
        <v>18</v>
      </c>
      <c r="E1229" t="inlineStr">
        <is>
          <t>A0089</t>
        </is>
      </c>
      <c r="F1229" t="inlineStr">
        <is>
          <t>臺北市中正區思源街1號-自來水博物館附近</t>
        </is>
      </c>
      <c r="G1229" t="n">
        <v>25.011706</v>
      </c>
      <c r="H1229" t="n">
        <v>121.532884</v>
      </c>
      <c r="I1229" t="n">
        <v>40</v>
      </c>
      <c r="J1229" t="n">
        <v>5</v>
      </c>
      <c r="K1229" t="n">
        <v>330.1</v>
      </c>
      <c r="L1229" t="inlineStr">
        <is>
          <t>Primary</t>
        </is>
      </c>
    </row>
    <row r="1230">
      <c r="A1230" t="n">
        <v>3</v>
      </c>
      <c r="B1230" s="28" t="inlineStr">
        <is>
          <t>S08</t>
        </is>
      </c>
      <c r="C1230" t="inlineStr">
        <is>
          <t>PZ-D</t>
        </is>
      </c>
      <c r="D1230" t="n">
        <v>19</v>
      </c>
      <c r="E1230" t="inlineStr">
        <is>
          <t>A0064</t>
        </is>
      </c>
      <c r="F1230" t="inlineStr">
        <is>
          <t>臺北市大安區泰順街68號</t>
        </is>
      </c>
      <c r="G1230" t="n">
        <v>25.022145</v>
      </c>
      <c r="H1230" t="n">
        <v>121.531386</v>
      </c>
      <c r="I1230" t="n">
        <v>8</v>
      </c>
      <c r="J1230" t="n">
        <v>3</v>
      </c>
      <c r="K1230" t="n">
        <v>341.1</v>
      </c>
      <c r="L1230" t="inlineStr">
        <is>
          <t>Primary</t>
        </is>
      </c>
    </row>
    <row r="1231">
      <c r="A1231" t="n">
        <v>3</v>
      </c>
      <c r="B1231" s="28" t="inlineStr">
        <is>
          <t>S08</t>
        </is>
      </c>
      <c r="C1231" t="inlineStr">
        <is>
          <t>PZ-D</t>
        </is>
      </c>
      <c r="D1231" t="n">
        <v>20</v>
      </c>
      <c r="E1231" t="inlineStr">
        <is>
          <t>A0059</t>
        </is>
      </c>
      <c r="F1231" t="inlineStr">
        <is>
          <t>臺北市大安區和平東路一段199巷1號</t>
        </is>
      </c>
      <c r="G1231" t="n">
        <v>25.027261</v>
      </c>
      <c r="H1231" t="n">
        <v>121.53415</v>
      </c>
      <c r="I1231" t="n">
        <v>8</v>
      </c>
      <c r="J1231" t="n">
        <v>3</v>
      </c>
      <c r="K1231" t="n">
        <v>352.1</v>
      </c>
      <c r="L1231" t="inlineStr">
        <is>
          <t>Primary</t>
        </is>
      </c>
    </row>
    <row r="1232">
      <c r="A1232" t="n">
        <v>3</v>
      </c>
      <c r="B1232" s="28" t="inlineStr">
        <is>
          <t>S08</t>
        </is>
      </c>
      <c r="C1232" t="inlineStr">
        <is>
          <t>PZ-D</t>
        </is>
      </c>
      <c r="D1232" t="n">
        <v>21</v>
      </c>
      <c r="E1232" t="inlineStr">
        <is>
          <t>A0061</t>
        </is>
      </c>
      <c r="F1232" t="inlineStr">
        <is>
          <t>臺北市大安區金華街110號</t>
        </is>
      </c>
      <c r="G1232" t="n">
        <v>25.03022</v>
      </c>
      <c r="H1232" t="n">
        <v>121.526206</v>
      </c>
      <c r="I1232" t="n">
        <v>16</v>
      </c>
      <c r="J1232" t="n">
        <v>3</v>
      </c>
      <c r="K1232" t="n">
        <v>371.1</v>
      </c>
      <c r="L1232" t="inlineStr">
        <is>
          <t>Primary</t>
        </is>
      </c>
    </row>
    <row r="1233">
      <c r="A1233" t="n">
        <v>3</v>
      </c>
      <c r="B1233" s="28" t="inlineStr">
        <is>
          <t>S08</t>
        </is>
      </c>
      <c r="C1233" t="inlineStr">
        <is>
          <t>PZ-D</t>
        </is>
      </c>
      <c r="D1233" t="n">
        <v>22</v>
      </c>
      <c r="E1233" t="inlineStr">
        <is>
          <t>A0071</t>
        </is>
      </c>
      <c r="F1233" t="inlineStr">
        <is>
          <t>臺北市大安區潮州街60巷2號旁</t>
        </is>
      </c>
      <c r="G1233" t="n">
        <v>25.029128</v>
      </c>
      <c r="H1233" t="n">
        <v>121.523759</v>
      </c>
      <c r="I1233" t="n">
        <v>8</v>
      </c>
      <c r="J1233" t="n">
        <v>3</v>
      </c>
      <c r="K1233" t="n">
        <v>382.1</v>
      </c>
      <c r="L1233" t="inlineStr">
        <is>
          <t>Primary</t>
        </is>
      </c>
    </row>
    <row r="1234">
      <c r="A1234" t="n">
        <v>3</v>
      </c>
      <c r="B1234" s="28" t="inlineStr">
        <is>
          <t>S08</t>
        </is>
      </c>
      <c r="C1234" t="inlineStr">
        <is>
          <t>PZ-D</t>
        </is>
      </c>
      <c r="D1234" t="n">
        <v>23</v>
      </c>
      <c r="E1234" t="inlineStr">
        <is>
          <t>A0088</t>
        </is>
      </c>
      <c r="F1234" t="inlineStr">
        <is>
          <t>臺北市中正區南昌路２段128號</t>
        </is>
      </c>
      <c r="G1234" t="n">
        <v>25.025756</v>
      </c>
      <c r="H1234" t="n">
        <v>121.522639</v>
      </c>
      <c r="I1234" t="n">
        <v>8</v>
      </c>
      <c r="J1234" t="n">
        <v>3</v>
      </c>
      <c r="K1234" t="n">
        <v>393.1</v>
      </c>
      <c r="L1234" t="inlineStr">
        <is>
          <t>Primary</t>
        </is>
      </c>
    </row>
    <row r="1235">
      <c r="A1235" t="n">
        <v>3</v>
      </c>
      <c r="B1235" s="28" t="inlineStr">
        <is>
          <t>S08</t>
        </is>
      </c>
      <c r="C1235" t="inlineStr">
        <is>
          <t>PZ-D</t>
        </is>
      </c>
      <c r="D1235" t="n">
        <v>24</v>
      </c>
      <c r="E1235" t="inlineStr">
        <is>
          <t>A0087</t>
        </is>
      </c>
      <c r="F1235" t="inlineStr">
        <is>
          <t>臺北市中正區南昌路2段128號</t>
        </is>
      </c>
      <c r="G1235" t="n">
        <v>25.025636</v>
      </c>
      <c r="H1235" t="n">
        <v>121.52255</v>
      </c>
      <c r="I1235" t="n">
        <v>8</v>
      </c>
      <c r="J1235" t="n">
        <v>2</v>
      </c>
      <c r="K1235" t="n">
        <v>403.1</v>
      </c>
      <c r="L1235" t="inlineStr">
        <is>
          <t>Primary</t>
        </is>
      </c>
    </row>
    <row r="1236">
      <c r="A1236" t="n">
        <v>3</v>
      </c>
      <c r="B1236" s="28" t="inlineStr">
        <is>
          <t>S08</t>
        </is>
      </c>
      <c r="C1236" t="inlineStr">
        <is>
          <t>PZ-D</t>
        </is>
      </c>
      <c r="D1236" t="n">
        <v>25</v>
      </c>
      <c r="E1236" t="inlineStr">
        <is>
          <t>A0090</t>
        </is>
      </c>
      <c r="F1236" t="inlineStr">
        <is>
          <t>臺北市中正區重慶南路三段27巷&amp;牯嶺街口</t>
        </is>
      </c>
      <c r="G1236" t="n">
        <v>25.029195</v>
      </c>
      <c r="H1236" t="n">
        <v>121.517056</v>
      </c>
      <c r="I1236" t="n">
        <v>8</v>
      </c>
      <c r="J1236" t="n">
        <v>3</v>
      </c>
      <c r="K1236" t="n">
        <v>414.1</v>
      </c>
      <c r="L1236" t="inlineStr">
        <is>
          <t>Primary</t>
        </is>
      </c>
    </row>
    <row r="1237">
      <c r="A1237" t="n">
        <v>3</v>
      </c>
      <c r="B1237" s="28" t="inlineStr">
        <is>
          <t>S08</t>
        </is>
      </c>
      <c r="C1237" t="inlineStr">
        <is>
          <t>PZ-D</t>
        </is>
      </c>
      <c r="D1237" t="n">
        <v>26</v>
      </c>
      <c r="E1237" t="inlineStr">
        <is>
          <t>A0093</t>
        </is>
      </c>
      <c r="F1237" t="inlineStr">
        <is>
          <t>臺北市中正區紹興南街24巷2號</t>
        </is>
      </c>
      <c r="G1237" t="n">
        <v>25.038811</v>
      </c>
      <c r="H1237" t="n">
        <v>121.523511</v>
      </c>
      <c r="I1237" t="n">
        <v>16</v>
      </c>
      <c r="J1237" t="n">
        <v>3</v>
      </c>
      <c r="K1237" t="n">
        <v>433.1</v>
      </c>
      <c r="L1237" t="inlineStr">
        <is>
          <t>Primary</t>
        </is>
      </c>
    </row>
    <row r="1238">
      <c r="A1238" t="n">
        <v>3</v>
      </c>
      <c r="B1238" s="28" t="inlineStr">
        <is>
          <t>S08</t>
        </is>
      </c>
      <c r="C1238" t="inlineStr">
        <is>
          <t>PZ-D</t>
        </is>
      </c>
      <c r="D1238" t="n">
        <v>27</v>
      </c>
      <c r="E1238" t="inlineStr">
        <is>
          <t>A0091</t>
        </is>
      </c>
      <c r="F1238" t="inlineStr">
        <is>
          <t>臺北市中正區徐州路19號</t>
        </is>
      </c>
      <c r="G1238" t="n">
        <v>25.0406555</v>
      </c>
      <c r="H1238" t="n">
        <v>121.523749</v>
      </c>
      <c r="I1238" t="n">
        <v>16</v>
      </c>
      <c r="J1238" t="n">
        <v>3</v>
      </c>
      <c r="K1238" t="n">
        <v>452.1</v>
      </c>
      <c r="L1238" t="inlineStr">
        <is>
          <t>Primary</t>
        </is>
      </c>
    </row>
    <row r="1239">
      <c r="A1239" t="n">
        <v>3</v>
      </c>
      <c r="B1239" s="28" t="inlineStr">
        <is>
          <t>S08</t>
        </is>
      </c>
      <c r="C1239" t="inlineStr">
        <is>
          <t>PZ-D</t>
        </is>
      </c>
      <c r="D1239" t="n">
        <v>28</v>
      </c>
      <c r="E1239" t="inlineStr">
        <is>
          <t>A0092</t>
        </is>
      </c>
      <c r="F1239" t="inlineStr">
        <is>
          <t>臺北市中正區泰安街7號</t>
        </is>
      </c>
      <c r="G1239" t="n">
        <v>25.039297</v>
      </c>
      <c r="H1239" t="n">
        <v>121.527811</v>
      </c>
      <c r="I1239" t="n">
        <v>8</v>
      </c>
      <c r="J1239" t="n">
        <v>3</v>
      </c>
      <c r="K1239" t="n">
        <v>463.1</v>
      </c>
      <c r="L1239" t="inlineStr">
        <is>
          <t>Primary</t>
        </is>
      </c>
    </row>
    <row r="1240">
      <c r="A1240" t="n">
        <v>3</v>
      </c>
      <c r="B1240" s="28" t="inlineStr">
        <is>
          <t>S08</t>
        </is>
      </c>
      <c r="C1240" t="inlineStr">
        <is>
          <t>PZ-D</t>
        </is>
      </c>
      <c r="D1240" t="n">
        <v>29</v>
      </c>
      <c r="E1240" t="inlineStr">
        <is>
          <t>A0079</t>
        </is>
      </c>
      <c r="F1240" t="inlineStr">
        <is>
          <t>臺北市中正區仁愛路二段96號旁工地-13F</t>
        </is>
      </c>
      <c r="G1240" t="n">
        <v>25.037752</v>
      </c>
      <c r="H1240" t="n">
        <v>121.531239</v>
      </c>
      <c r="I1240" t="n">
        <v>18</v>
      </c>
      <c r="J1240" t="n">
        <v>3</v>
      </c>
      <c r="K1240" t="n">
        <v>484.1</v>
      </c>
      <c r="L1240" t="inlineStr">
        <is>
          <t>Primary</t>
        </is>
      </c>
    </row>
    <row r="1241">
      <c r="A1241" t="n">
        <v>3</v>
      </c>
      <c r="B1241" s="28" t="inlineStr">
        <is>
          <t>S08</t>
        </is>
      </c>
      <c r="C1241" t="inlineStr">
        <is>
          <t>PZ-D</t>
        </is>
      </c>
      <c r="D1241" t="n">
        <v>30</v>
      </c>
      <c r="E1241" t="inlineStr">
        <is>
          <t>A0053</t>
        </is>
      </c>
      <c r="F1241" t="inlineStr">
        <is>
          <t>臺北市大安區仁愛路3段5巷14號</t>
        </is>
      </c>
      <c r="G1241" t="n">
        <v>25.039558</v>
      </c>
      <c r="H1241" t="n">
        <v>121.533444</v>
      </c>
      <c r="I1241" t="n">
        <v>8</v>
      </c>
      <c r="J1241" t="n">
        <v>3</v>
      </c>
      <c r="K1241" t="n">
        <v>495.1</v>
      </c>
      <c r="L1241" t="inlineStr">
        <is>
          <t>Primary</t>
        </is>
      </c>
    </row>
    <row r="1242">
      <c r="A1242" t="n">
        <v>3</v>
      </c>
      <c r="B1242" s="28" t="inlineStr">
        <is>
          <t>S08</t>
        </is>
      </c>
      <c r="C1242" t="inlineStr">
        <is>
          <t>PZ-D</t>
        </is>
      </c>
      <c r="D1242" t="n">
        <v>31</v>
      </c>
      <c r="E1242" t="inlineStr">
        <is>
          <t>A0095</t>
        </is>
      </c>
      <c r="F1242" t="inlineStr">
        <is>
          <t>臺北市中正區臨沂街75巷21號(從連雲街進入)</t>
        </is>
      </c>
      <c r="G1242" t="n">
        <v>25.034397</v>
      </c>
      <c r="H1242" t="n">
        <v>121.529711</v>
      </c>
      <c r="I1242" t="n">
        <v>8</v>
      </c>
      <c r="J1242" t="n">
        <v>3</v>
      </c>
      <c r="K1242" t="n">
        <v>506.1</v>
      </c>
      <c r="L1242" t="inlineStr">
        <is>
          <t>Primary</t>
        </is>
      </c>
    </row>
    <row r="1243">
      <c r="A1243" t="n">
        <v>4</v>
      </c>
      <c r="B1243" s="28" t="inlineStr">
        <is>
          <t>S08</t>
        </is>
      </c>
      <c r="C1243" t="inlineStr">
        <is>
          <t>PZ-D</t>
        </is>
      </c>
      <c r="D1243" t="n">
        <v>1</v>
      </c>
      <c r="E1243" t="inlineStr">
        <is>
          <t>F0278</t>
        </is>
      </c>
      <c r="F1243" t="inlineStr">
        <is>
          <t>新北市新店區秀岡二街16巷21號-康橋旭</t>
        </is>
      </c>
      <c r="G1243" t="n">
        <v>24.916839</v>
      </c>
      <c r="H1243" t="n">
        <v>121.502556</v>
      </c>
      <c r="I1243" t="n">
        <v>8</v>
      </c>
      <c r="J1243" t="n">
        <v>27.8</v>
      </c>
      <c r="K1243" t="n">
        <v>35.8</v>
      </c>
      <c r="L1243" t="inlineStr">
        <is>
          <t>Primary</t>
        </is>
      </c>
    </row>
    <row r="1244">
      <c r="A1244" t="n">
        <v>4</v>
      </c>
      <c r="B1244" s="28" t="inlineStr">
        <is>
          <t>S08</t>
        </is>
      </c>
      <c r="C1244" t="inlineStr">
        <is>
          <t>PZ-D</t>
        </is>
      </c>
      <c r="D1244" t="n">
        <v>2</v>
      </c>
      <c r="E1244" t="inlineStr">
        <is>
          <t>F0282</t>
        </is>
      </c>
      <c r="F1244" t="inlineStr">
        <is>
          <t>新北市新店區華城六街102號對面工地-大台北華城</t>
        </is>
      </c>
      <c r="G1244" t="n">
        <v>24.92545</v>
      </c>
      <c r="H1244" t="n">
        <v>121.509969</v>
      </c>
      <c r="I1244" t="n">
        <v>16</v>
      </c>
      <c r="J1244" t="n">
        <v>3</v>
      </c>
      <c r="K1244" t="n">
        <v>54.8</v>
      </c>
      <c r="L1244" t="inlineStr">
        <is>
          <t>Primary</t>
        </is>
      </c>
    </row>
    <row r="1245">
      <c r="A1245" t="n">
        <v>4</v>
      </c>
      <c r="B1245" s="28" t="inlineStr">
        <is>
          <t>S08</t>
        </is>
      </c>
      <c r="C1245" t="inlineStr">
        <is>
          <t>PZ-D</t>
        </is>
      </c>
      <c r="D1245" t="n">
        <v>3</v>
      </c>
      <c r="E1245" t="inlineStr">
        <is>
          <t>F0272</t>
        </is>
      </c>
      <c r="F1245" t="inlineStr">
        <is>
          <t>新北市新店區北新路一段64巷口</t>
        </is>
      </c>
      <c r="G1245" t="n">
        <v>24.966503</v>
      </c>
      <c r="H1245" t="n">
        <v>121.54135</v>
      </c>
      <c r="I1245" t="n">
        <v>8</v>
      </c>
      <c r="J1245" t="n">
        <v>13.3</v>
      </c>
      <c r="K1245" t="n">
        <v>76.2</v>
      </c>
      <c r="L1245" t="inlineStr">
        <is>
          <t>Primary</t>
        </is>
      </c>
    </row>
    <row r="1246">
      <c r="A1246" t="n">
        <v>4</v>
      </c>
      <c r="B1246" s="28" t="inlineStr">
        <is>
          <t>S08</t>
        </is>
      </c>
      <c r="C1246" t="inlineStr">
        <is>
          <t>PZ-D</t>
        </is>
      </c>
      <c r="D1246" t="n">
        <v>4</v>
      </c>
      <c r="E1246" t="inlineStr">
        <is>
          <t>F0261</t>
        </is>
      </c>
      <c r="F1246" t="inlineStr">
        <is>
          <t>新北市新店區三民路94巷14號旁</t>
        </is>
      </c>
      <c r="G1246" t="n">
        <v>24.9734</v>
      </c>
      <c r="H1246" t="n">
        <v>121.534783</v>
      </c>
      <c r="I1246" t="n">
        <v>8</v>
      </c>
      <c r="J1246" t="n">
        <v>3</v>
      </c>
      <c r="K1246" t="n">
        <v>87.2</v>
      </c>
      <c r="L1246" t="inlineStr">
        <is>
          <t>Primary</t>
        </is>
      </c>
    </row>
    <row r="1247">
      <c r="A1247" t="n">
        <v>4</v>
      </c>
      <c r="B1247" s="28" t="inlineStr">
        <is>
          <t>S08</t>
        </is>
      </c>
      <c r="C1247" t="inlineStr">
        <is>
          <t>PZ-D</t>
        </is>
      </c>
      <c r="D1247" t="n">
        <v>5</v>
      </c>
      <c r="E1247" t="inlineStr">
        <is>
          <t>F0273</t>
        </is>
      </c>
      <c r="F1247" t="inlineStr">
        <is>
          <t>新北市新店區央北一路28號旁白色圍籬工地</t>
        </is>
      </c>
      <c r="G1247" t="n">
        <v>24.97585</v>
      </c>
      <c r="H1247" t="n">
        <v>121.530028</v>
      </c>
      <c r="I1247" t="n">
        <v>8</v>
      </c>
      <c r="J1247" t="n">
        <v>3</v>
      </c>
      <c r="K1247" t="n">
        <v>98.2</v>
      </c>
      <c r="L1247" t="inlineStr">
        <is>
          <t>Primary</t>
        </is>
      </c>
    </row>
    <row r="1248">
      <c r="A1248" t="n">
        <v>4</v>
      </c>
      <c r="B1248" s="28" t="inlineStr">
        <is>
          <t>S08</t>
        </is>
      </c>
      <c r="C1248" t="inlineStr">
        <is>
          <t>PZ-D</t>
        </is>
      </c>
      <c r="D1248" t="n">
        <v>6</v>
      </c>
      <c r="E1248" t="inlineStr">
        <is>
          <t>F0274</t>
        </is>
      </c>
      <c r="F1248" t="inlineStr">
        <is>
          <t>新北市新店區央北二路與斯馨路口-忠泰蘊基地</t>
        </is>
      </c>
      <c r="G1248" t="n">
        <v>24.97742</v>
      </c>
      <c r="H1248" t="n">
        <v>121.530309</v>
      </c>
      <c r="I1248" t="n">
        <v>16</v>
      </c>
      <c r="J1248" t="n">
        <v>3</v>
      </c>
      <c r="K1248" t="n">
        <v>117.2</v>
      </c>
      <c r="L1248" t="inlineStr">
        <is>
          <t>Primary</t>
        </is>
      </c>
    </row>
    <row r="1249">
      <c r="A1249" t="n">
        <v>4</v>
      </c>
      <c r="B1249" s="28" t="inlineStr">
        <is>
          <t>S08</t>
        </is>
      </c>
      <c r="C1249" t="inlineStr">
        <is>
          <t>PZ-D</t>
        </is>
      </c>
      <c r="D1249" t="n">
        <v>7</v>
      </c>
      <c r="E1249" t="inlineStr">
        <is>
          <t>F0263</t>
        </is>
      </c>
      <c r="F1249" t="inlineStr">
        <is>
          <t>新北市新店區中央七街70號</t>
        </is>
      </c>
      <c r="G1249" t="n">
        <v>24.976606</v>
      </c>
      <c r="H1249" t="n">
        <v>121.527423</v>
      </c>
      <c r="I1249" t="n">
        <v>8</v>
      </c>
      <c r="J1249" t="n">
        <v>3</v>
      </c>
      <c r="K1249" t="n">
        <v>128.2</v>
      </c>
      <c r="L1249" t="inlineStr">
        <is>
          <t>Primary</t>
        </is>
      </c>
    </row>
    <row r="1250">
      <c r="A1250" t="n">
        <v>4</v>
      </c>
      <c r="B1250" s="28" t="inlineStr">
        <is>
          <t>S08</t>
        </is>
      </c>
      <c r="C1250" t="inlineStr">
        <is>
          <t>PZ-D</t>
        </is>
      </c>
      <c r="D1250" t="n">
        <v>8</v>
      </c>
      <c r="E1250" t="inlineStr">
        <is>
          <t>F0265</t>
        </is>
      </c>
      <c r="F1250" t="inlineStr">
        <is>
          <t>新北市新店區中央八街120號</t>
        </is>
      </c>
      <c r="G1250" t="n">
        <v>24.97835</v>
      </c>
      <c r="H1250" t="n">
        <v>121.52535</v>
      </c>
      <c r="I1250" t="n">
        <v>8</v>
      </c>
      <c r="J1250" t="n">
        <v>3</v>
      </c>
      <c r="K1250" t="n">
        <v>139.2</v>
      </c>
      <c r="L1250" t="inlineStr">
        <is>
          <t>Primary</t>
        </is>
      </c>
    </row>
    <row r="1251">
      <c r="A1251" t="n">
        <v>4</v>
      </c>
      <c r="B1251" s="28" t="inlineStr">
        <is>
          <t>S08</t>
        </is>
      </c>
      <c r="C1251" t="inlineStr">
        <is>
          <t>PZ-D</t>
        </is>
      </c>
      <c r="D1251" t="n">
        <v>9</v>
      </c>
      <c r="E1251" t="inlineStr">
        <is>
          <t>F0271</t>
        </is>
      </c>
      <c r="F1251" t="inlineStr">
        <is>
          <t>新北市新店區中興路三段206巷1弄17號旁</t>
        </is>
      </c>
      <c r="G1251" t="n">
        <v>24.985461</v>
      </c>
      <c r="H1251" t="n">
        <v>121.541511</v>
      </c>
      <c r="I1251" t="n">
        <v>8</v>
      </c>
      <c r="J1251" t="n">
        <v>4.3</v>
      </c>
      <c r="K1251" t="n">
        <v>151.5</v>
      </c>
      <c r="L1251" t="inlineStr">
        <is>
          <t>Primary</t>
        </is>
      </c>
    </row>
    <row r="1252">
      <c r="A1252" t="n">
        <v>4</v>
      </c>
      <c r="B1252" s="28" t="inlineStr">
        <is>
          <t>S08</t>
        </is>
      </c>
      <c r="C1252" t="inlineStr">
        <is>
          <t>PZ-D</t>
        </is>
      </c>
      <c r="D1252" t="n">
        <v>10</v>
      </c>
      <c r="E1252" t="inlineStr">
        <is>
          <t>A0143</t>
        </is>
      </c>
      <c r="F1252" t="inlineStr">
        <is>
          <t>臺北市文山區景華街171號</t>
        </is>
      </c>
      <c r="G1252" t="n">
        <v>24.9977855</v>
      </c>
      <c r="H1252" t="n">
        <v>121.547841</v>
      </c>
      <c r="I1252" t="n">
        <v>27</v>
      </c>
      <c r="J1252" t="n">
        <v>3.6</v>
      </c>
      <c r="K1252" t="n">
        <v>182.1</v>
      </c>
      <c r="L1252" t="inlineStr">
        <is>
          <t>Primary</t>
        </is>
      </c>
    </row>
    <row r="1253">
      <c r="A1253" t="n">
        <v>4</v>
      </c>
      <c r="B1253" s="28" t="inlineStr">
        <is>
          <t>S08</t>
        </is>
      </c>
      <c r="C1253" t="inlineStr">
        <is>
          <t>PZ-D</t>
        </is>
      </c>
      <c r="D1253" t="n">
        <v>11</v>
      </c>
      <c r="E1253" t="inlineStr">
        <is>
          <t>A0147</t>
        </is>
      </c>
      <c r="F1253" t="inlineStr">
        <is>
          <t>臺北市文山區興隆路二段96巷39號</t>
        </is>
      </c>
      <c r="G1253" t="n">
        <v>24.998961</v>
      </c>
      <c r="H1253" t="n">
        <v>121.550319</v>
      </c>
      <c r="I1253" t="n">
        <v>8</v>
      </c>
      <c r="J1253" t="n">
        <v>3</v>
      </c>
      <c r="K1253" t="n">
        <v>193.1</v>
      </c>
      <c r="L1253" t="inlineStr">
        <is>
          <t>Primary</t>
        </is>
      </c>
    </row>
    <row r="1254">
      <c r="A1254" t="n">
        <v>4</v>
      </c>
      <c r="B1254" s="28" t="inlineStr">
        <is>
          <t>S08</t>
        </is>
      </c>
      <c r="C1254" t="inlineStr">
        <is>
          <t>PZ-D</t>
        </is>
      </c>
      <c r="D1254" t="n">
        <v>12</v>
      </c>
      <c r="E1254" t="inlineStr">
        <is>
          <t>A0136</t>
        </is>
      </c>
      <c r="F1254" t="inlineStr">
        <is>
          <t>臺北市文山區木柵路2段200號旁-木柵A1</t>
        </is>
      </c>
      <c r="G1254" t="n">
        <v>24.98867366666667</v>
      </c>
      <c r="H1254" t="n">
        <v>121.5624173333333</v>
      </c>
      <c r="I1254" t="n">
        <v>24</v>
      </c>
      <c r="J1254" t="n">
        <v>4</v>
      </c>
      <c r="K1254" t="n">
        <v>221.1</v>
      </c>
      <c r="L1254" t="inlineStr">
        <is>
          <t>Primary</t>
        </is>
      </c>
    </row>
    <row r="1255">
      <c r="A1255" t="n">
        <v>4</v>
      </c>
      <c r="B1255" s="28" t="inlineStr">
        <is>
          <t>S08</t>
        </is>
      </c>
      <c r="C1255" t="inlineStr">
        <is>
          <t>PZ-D</t>
        </is>
      </c>
      <c r="D1255" t="n">
        <v>13</v>
      </c>
      <c r="E1255" t="inlineStr">
        <is>
          <t>A0146</t>
        </is>
      </c>
      <c r="F1255" t="inlineStr">
        <is>
          <t>臺北市文山區興隆路４段109巷工地-電聯定位</t>
        </is>
      </c>
      <c r="G1255" t="n">
        <v>24.9868207</v>
      </c>
      <c r="H1255" t="n">
        <v>121.563512</v>
      </c>
      <c r="I1255" t="n">
        <v>48</v>
      </c>
      <c r="J1255" t="n">
        <v>3</v>
      </c>
      <c r="K1255" t="n">
        <v>272.1</v>
      </c>
      <c r="L1255" t="inlineStr">
        <is>
          <t>Primary</t>
        </is>
      </c>
    </row>
    <row r="1256">
      <c r="A1256" t="n">
        <v>4</v>
      </c>
      <c r="B1256" s="28" t="inlineStr">
        <is>
          <t>S08</t>
        </is>
      </c>
      <c r="C1256" t="inlineStr">
        <is>
          <t>PZ-D</t>
        </is>
      </c>
      <c r="D1256" t="n">
        <v>14</v>
      </c>
      <c r="E1256" t="inlineStr">
        <is>
          <t>A0137</t>
        </is>
      </c>
      <c r="F1256" t="inlineStr">
        <is>
          <t>臺北市文山區木柵路三段43號</t>
        </is>
      </c>
      <c r="G1256" t="n">
        <v>24.988483</v>
      </c>
      <c r="H1256" t="n">
        <v>121.565972</v>
      </c>
      <c r="I1256" t="n">
        <v>8</v>
      </c>
      <c r="J1256" t="n">
        <v>3</v>
      </c>
      <c r="K1256" t="n">
        <v>283.1</v>
      </c>
      <c r="L1256" t="inlineStr">
        <is>
          <t>Primary</t>
        </is>
      </c>
    </row>
    <row r="1257">
      <c r="A1257" t="n">
        <v>4</v>
      </c>
      <c r="B1257" s="28" t="inlineStr">
        <is>
          <t>S08</t>
        </is>
      </c>
      <c r="C1257" t="inlineStr">
        <is>
          <t>PZ-D</t>
        </is>
      </c>
      <c r="D1257" t="n">
        <v>15</v>
      </c>
      <c r="E1257" t="inlineStr">
        <is>
          <t>A0140</t>
        </is>
      </c>
      <c r="F1257" t="inlineStr">
        <is>
          <t>臺北市文山區政大二街129號旁小公園</t>
        </is>
      </c>
      <c r="G1257" t="n">
        <v>24.988533</v>
      </c>
      <c r="H1257" t="n">
        <v>121.584247</v>
      </c>
      <c r="I1257" t="n">
        <v>8</v>
      </c>
      <c r="J1257" t="n">
        <v>4.4</v>
      </c>
      <c r="K1257" t="n">
        <v>295.6</v>
      </c>
      <c r="L1257" t="inlineStr">
        <is>
          <t>Primary</t>
        </is>
      </c>
    </row>
    <row r="1258">
      <c r="A1258" t="n">
        <v>4</v>
      </c>
      <c r="B1258" s="28" t="inlineStr">
        <is>
          <t>S08</t>
        </is>
      </c>
      <c r="C1258" t="inlineStr">
        <is>
          <t>PZ-D</t>
        </is>
      </c>
      <c r="D1258" t="n">
        <v>16</v>
      </c>
      <c r="E1258" t="inlineStr">
        <is>
          <t>A0195</t>
        </is>
      </c>
      <c r="F1258" t="inlineStr">
        <is>
          <t>臺北市信義區崇德街146巷81號旁空地</t>
        </is>
      </c>
      <c r="G1258" t="n">
        <v>25.022028</v>
      </c>
      <c r="H1258" t="n">
        <v>121.558958</v>
      </c>
      <c r="I1258" t="n">
        <v>8</v>
      </c>
      <c r="J1258" t="n">
        <v>10.8</v>
      </c>
      <c r="K1258" t="n">
        <v>314.4</v>
      </c>
      <c r="L1258" t="inlineStr">
        <is>
          <t>Primary</t>
        </is>
      </c>
    </row>
    <row r="1259">
      <c r="A1259" t="n">
        <v>4</v>
      </c>
      <c r="B1259" s="28" t="inlineStr">
        <is>
          <t>S08</t>
        </is>
      </c>
      <c r="C1259" t="inlineStr">
        <is>
          <t>PZ-D</t>
        </is>
      </c>
      <c r="D1259" t="n">
        <v>17</v>
      </c>
      <c r="E1259" t="inlineStr">
        <is>
          <t>A0057</t>
        </is>
      </c>
      <c r="F1259" t="inlineStr">
        <is>
          <t>臺北市大安區光復南路96巷25號-電聯</t>
        </is>
      </c>
      <c r="G1259" t="n">
        <v>25.043711</v>
      </c>
      <c r="H1259" t="n">
        <v>121.555603</v>
      </c>
      <c r="I1259" t="n">
        <v>8</v>
      </c>
      <c r="J1259" t="n">
        <v>5.8</v>
      </c>
      <c r="K1259" t="n">
        <v>328.2</v>
      </c>
      <c r="L1259" t="inlineStr">
        <is>
          <t>Primary</t>
        </is>
      </c>
    </row>
    <row r="1260">
      <c r="A1260" t="n">
        <v>4</v>
      </c>
      <c r="B1260" s="28" t="inlineStr">
        <is>
          <t>S08</t>
        </is>
      </c>
      <c r="C1260" t="inlineStr">
        <is>
          <t>PZ-D</t>
        </is>
      </c>
      <c r="D1260" t="n">
        <v>18</v>
      </c>
      <c r="E1260" t="inlineStr">
        <is>
          <t>A0180</t>
        </is>
      </c>
      <c r="F1260" t="inlineStr">
        <is>
          <t>臺北市松山區光復北路120巷10號</t>
        </is>
      </c>
      <c r="G1260" t="n">
        <v>25.050958</v>
      </c>
      <c r="H1260" t="n">
        <v>121.557442</v>
      </c>
      <c r="I1260" t="n">
        <v>8</v>
      </c>
      <c r="J1260" t="n">
        <v>3</v>
      </c>
      <c r="K1260" t="n">
        <v>339.2</v>
      </c>
      <c r="L1260" t="inlineStr">
        <is>
          <t>Primary</t>
        </is>
      </c>
    </row>
    <row r="1261">
      <c r="A1261" t="n">
        <v>4</v>
      </c>
      <c r="B1261" s="28" t="inlineStr">
        <is>
          <t>S08</t>
        </is>
      </c>
      <c r="C1261" t="inlineStr">
        <is>
          <t>PZ-D</t>
        </is>
      </c>
      <c r="D1261" t="n">
        <v>19</v>
      </c>
      <c r="E1261" t="inlineStr">
        <is>
          <t>A0181</t>
        </is>
      </c>
      <c r="F1261" t="inlineStr">
        <is>
          <t>臺北市松山區光復北路120巷9號旁</t>
        </is>
      </c>
      <c r="G1261" t="n">
        <v>25.051062</v>
      </c>
      <c r="H1261" t="n">
        <v>121.5570971</v>
      </c>
      <c r="I1261" t="n">
        <v>16</v>
      </c>
      <c r="J1261" t="n">
        <v>2</v>
      </c>
      <c r="K1261" t="n">
        <v>357.2</v>
      </c>
      <c r="L1261" t="inlineStr">
        <is>
          <t>Primary</t>
        </is>
      </c>
    </row>
    <row r="1262">
      <c r="A1262" t="n">
        <v>4</v>
      </c>
      <c r="B1262" s="28" t="inlineStr">
        <is>
          <t>S08</t>
        </is>
      </c>
      <c r="C1262" t="inlineStr">
        <is>
          <t>PZ-D</t>
        </is>
      </c>
      <c r="D1262" t="n">
        <v>20</v>
      </c>
      <c r="E1262" t="inlineStr">
        <is>
          <t>A0181</t>
        </is>
      </c>
      <c r="F1262" t="inlineStr">
        <is>
          <t>臺北市松山區光復北路120巷9號旁</t>
        </is>
      </c>
      <c r="G1262" t="n">
        <v>25.051089</v>
      </c>
      <c r="H1262" t="n">
        <v>121.557075</v>
      </c>
      <c r="I1262" t="n">
        <v>29</v>
      </c>
      <c r="J1262" t="n">
        <v>2</v>
      </c>
      <c r="K1262" t="n">
        <v>388.2</v>
      </c>
      <c r="L1262" t="inlineStr">
        <is>
          <t>Primary</t>
        </is>
      </c>
    </row>
    <row r="1263">
      <c r="A1263" t="n">
        <v>4</v>
      </c>
      <c r="B1263" s="28" t="inlineStr">
        <is>
          <t>S08</t>
        </is>
      </c>
      <c r="C1263" t="inlineStr">
        <is>
          <t>PZ-D</t>
        </is>
      </c>
      <c r="D1263" t="n">
        <v>21</v>
      </c>
      <c r="E1263" t="inlineStr">
        <is>
          <t>A0177</t>
        </is>
      </c>
      <c r="F1263" t="inlineStr">
        <is>
          <t>臺北市松山區八德路４段169號跟171號(原京華城對面工地)</t>
        </is>
      </c>
      <c r="G1263" t="n">
        <v>25.049152</v>
      </c>
      <c r="H1263" t="n">
        <v>121.562628</v>
      </c>
      <c r="I1263" t="n">
        <v>16</v>
      </c>
      <c r="J1263" t="n">
        <v>3</v>
      </c>
      <c r="K1263" t="n">
        <v>407.2</v>
      </c>
      <c r="L1263" t="inlineStr">
        <is>
          <t>Primary</t>
        </is>
      </c>
    </row>
    <row r="1264">
      <c r="A1264" t="n">
        <v>4</v>
      </c>
      <c r="B1264" s="28" t="inlineStr">
        <is>
          <t>S08</t>
        </is>
      </c>
      <c r="C1264" t="inlineStr">
        <is>
          <t>PZ-D</t>
        </is>
      </c>
      <c r="D1264" t="n">
        <v>22</v>
      </c>
      <c r="E1264" t="inlineStr">
        <is>
          <t>A0183</t>
        </is>
      </c>
      <c r="F1264" t="inlineStr">
        <is>
          <t>臺北市松山區南京東路五段251巷29號</t>
        </is>
      </c>
      <c r="G1264" t="n">
        <v>25.052942</v>
      </c>
      <c r="H1264" t="n">
        <v>121.564625</v>
      </c>
      <c r="I1264" t="n">
        <v>8</v>
      </c>
      <c r="J1264" t="n">
        <v>3</v>
      </c>
      <c r="K1264" t="n">
        <v>418.2</v>
      </c>
      <c r="L1264" t="inlineStr">
        <is>
          <t>Primary</t>
        </is>
      </c>
    </row>
    <row r="1265">
      <c r="A1265" t="n">
        <v>4</v>
      </c>
      <c r="B1265" s="28" t="inlineStr">
        <is>
          <t>S08</t>
        </is>
      </c>
      <c r="C1265" t="inlineStr">
        <is>
          <t>PZ-D</t>
        </is>
      </c>
      <c r="D1265" t="n">
        <v>23</v>
      </c>
      <c r="E1265" t="inlineStr">
        <is>
          <t>A0182</t>
        </is>
      </c>
      <c r="F1265" t="inlineStr">
        <is>
          <t>臺北市松山區松河街6號</t>
        </is>
      </c>
      <c r="G1265" t="n">
        <v>25.051281</v>
      </c>
      <c r="H1265" t="n">
        <v>121.571184</v>
      </c>
      <c r="I1265" t="n">
        <v>8</v>
      </c>
      <c r="J1265" t="n">
        <v>3</v>
      </c>
      <c r="K1265" t="n">
        <v>429.2</v>
      </c>
      <c r="L1265" t="inlineStr">
        <is>
          <t>Primary</t>
        </is>
      </c>
    </row>
    <row r="1266">
      <c r="A1266" t="n">
        <v>4</v>
      </c>
      <c r="B1266" s="28" t="inlineStr">
        <is>
          <t>S08</t>
        </is>
      </c>
      <c r="C1266" t="inlineStr">
        <is>
          <t>PZ-D</t>
        </is>
      </c>
      <c r="D1266" t="n">
        <v>24</v>
      </c>
      <c r="E1266" t="inlineStr">
        <is>
          <t>A0132</t>
        </is>
      </c>
      <c r="F1266" t="inlineStr">
        <is>
          <t>臺北市內湖區潭美街與安興街岔口</t>
        </is>
      </c>
      <c r="G1266" t="n">
        <v>25.054381</v>
      </c>
      <c r="H1266" t="n">
        <v>121.574389</v>
      </c>
      <c r="I1266" t="n">
        <v>8</v>
      </c>
      <c r="J1266" t="n">
        <v>3</v>
      </c>
      <c r="K1266" t="n">
        <v>440.2</v>
      </c>
      <c r="L1266" t="inlineStr">
        <is>
          <t>Primary</t>
        </is>
      </c>
    </row>
    <row r="1267">
      <c r="A1267" t="n">
        <v>4</v>
      </c>
      <c r="B1267" s="28" t="inlineStr">
        <is>
          <t>S08</t>
        </is>
      </c>
      <c r="C1267" t="inlineStr">
        <is>
          <t>PZ-D</t>
        </is>
      </c>
      <c r="D1267" t="n">
        <v>25</v>
      </c>
      <c r="E1267" t="inlineStr">
        <is>
          <t>A0123</t>
        </is>
      </c>
      <c r="F1267" t="inlineStr">
        <is>
          <t>臺北市內湖區南京東路六段-環東公園</t>
        </is>
      </c>
      <c r="G1267" t="n">
        <v>25.054192</v>
      </c>
      <c r="H1267" t="n">
        <v>121.575167</v>
      </c>
      <c r="I1267" t="n">
        <v>16</v>
      </c>
      <c r="J1267" t="n">
        <v>2</v>
      </c>
      <c r="K1267" t="n">
        <v>458.2</v>
      </c>
      <c r="L1267" t="inlineStr">
        <is>
          <t>Primary</t>
        </is>
      </c>
    </row>
    <row r="1268">
      <c r="A1268" t="n">
        <v>4</v>
      </c>
      <c r="B1268" s="28" t="inlineStr">
        <is>
          <t>S08</t>
        </is>
      </c>
      <c r="C1268" t="inlineStr">
        <is>
          <t>PZ-D</t>
        </is>
      </c>
      <c r="D1268" t="n">
        <v>26</v>
      </c>
      <c r="E1268" t="inlineStr">
        <is>
          <t>A0122</t>
        </is>
      </c>
      <c r="F1268" t="inlineStr">
        <is>
          <t>臺北市內湖區南京東路六段501號</t>
        </is>
      </c>
      <c r="G1268" t="n">
        <v>25.055761</v>
      </c>
      <c r="H1268" t="n">
        <v>121.573673</v>
      </c>
      <c r="I1268" t="n">
        <v>8</v>
      </c>
      <c r="J1268" t="n">
        <v>3</v>
      </c>
      <c r="K1268" t="n">
        <v>469.2</v>
      </c>
      <c r="L1268" t="inlineStr">
        <is>
          <t>Primary</t>
        </is>
      </c>
    </row>
    <row r="1269">
      <c r="A1269" t="n">
        <v>4</v>
      </c>
      <c r="B1269" s="28" t="inlineStr">
        <is>
          <t>S08</t>
        </is>
      </c>
      <c r="C1269" t="inlineStr">
        <is>
          <t>PZ-D</t>
        </is>
      </c>
      <c r="D1269" t="n">
        <v>27</v>
      </c>
      <c r="E1269" t="inlineStr">
        <is>
          <t>A0128</t>
        </is>
      </c>
      <c r="F1269" t="inlineStr">
        <is>
          <t>臺北市內湖區新湖三路36號-萊爾富</t>
        </is>
      </c>
      <c r="G1269" t="n">
        <v>25.062861</v>
      </c>
      <c r="H1269" t="n">
        <v>121.575306</v>
      </c>
      <c r="I1269" t="n">
        <v>8</v>
      </c>
      <c r="J1269" t="n">
        <v>3</v>
      </c>
      <c r="K1269" t="n">
        <v>480.2</v>
      </c>
      <c r="L1269" t="inlineStr">
        <is>
          <t>Primary</t>
        </is>
      </c>
    </row>
    <row r="1270">
      <c r="A1270" t="n">
        <v>4</v>
      </c>
      <c r="B1270" s="28" t="inlineStr">
        <is>
          <t>S08</t>
        </is>
      </c>
      <c r="C1270" t="inlineStr">
        <is>
          <t>PZ-D</t>
        </is>
      </c>
      <c r="D1270" t="n">
        <v>28</v>
      </c>
      <c r="E1270" t="inlineStr">
        <is>
          <t>A0119</t>
        </is>
      </c>
      <c r="F1270" t="inlineStr">
        <is>
          <t>臺北市內湖區行愛路140巷21號對面工地</t>
        </is>
      </c>
      <c r="G1270" t="n">
        <v>25.063992</v>
      </c>
      <c r="H1270" t="n">
        <v>121.579703</v>
      </c>
      <c r="I1270" t="n">
        <v>16</v>
      </c>
      <c r="J1270" t="n">
        <v>3</v>
      </c>
      <c r="K1270" t="n">
        <v>499.2</v>
      </c>
      <c r="L1270" t="inlineStr">
        <is>
          <t>Primary</t>
        </is>
      </c>
    </row>
    <row r="1271">
      <c r="A1271" t="n">
        <v>5</v>
      </c>
      <c r="B1271" s="28" t="inlineStr">
        <is>
          <t>S08</t>
        </is>
      </c>
      <c r="C1271" t="inlineStr">
        <is>
          <t>PZ-D</t>
        </is>
      </c>
      <c r="D1271" t="n">
        <v>1</v>
      </c>
      <c r="E1271" t="inlineStr">
        <is>
          <t>F0015</t>
        </is>
      </c>
      <c r="F1271" t="inlineStr">
        <is>
          <t>新北市八里區商港路-台北港電聯定位</t>
        </is>
      </c>
      <c r="G1271" t="n">
        <v>25.15888114285714</v>
      </c>
      <c r="H1271" t="n">
        <v>121.3758414285714</v>
      </c>
      <c r="I1271" t="n">
        <v>112</v>
      </c>
      <c r="J1271" t="n">
        <v>31.8</v>
      </c>
      <c r="K1271" t="n">
        <v>143.8</v>
      </c>
      <c r="L1271" t="inlineStr">
        <is>
          <t>Primary</t>
        </is>
      </c>
    </row>
    <row r="1272">
      <c r="A1272" t="n">
        <v>5</v>
      </c>
      <c r="B1272" s="28" t="inlineStr">
        <is>
          <t>S08</t>
        </is>
      </c>
      <c r="C1272" t="inlineStr">
        <is>
          <t>PZ-D</t>
        </is>
      </c>
      <c r="D1272" t="n">
        <v>2</v>
      </c>
      <c r="E1272" t="inlineStr">
        <is>
          <t>A0028</t>
        </is>
      </c>
      <c r="F1272" t="inlineStr">
        <is>
          <t>臺北市士林區延平北路六段261巷9弄</t>
        </is>
      </c>
      <c r="G1272" t="n">
        <v>25.08845</v>
      </c>
      <c r="H1272" t="n">
        <v>121.503736</v>
      </c>
      <c r="I1272" t="n">
        <v>8</v>
      </c>
      <c r="J1272" t="n">
        <v>15.1</v>
      </c>
      <c r="K1272" t="n">
        <v>166.9</v>
      </c>
      <c r="L1272" t="inlineStr">
        <is>
          <t>Primary</t>
        </is>
      </c>
    </row>
    <row r="1273">
      <c r="A1273" t="n">
        <v>5</v>
      </c>
      <c r="B1273" s="28" t="inlineStr">
        <is>
          <t>S08</t>
        </is>
      </c>
      <c r="C1273" t="inlineStr">
        <is>
          <t>PZ-D</t>
        </is>
      </c>
      <c r="D1273" t="n">
        <v>3</v>
      </c>
      <c r="E1273" t="inlineStr">
        <is>
          <t>A0006</t>
        </is>
      </c>
      <c r="F1273" t="inlineStr">
        <is>
          <t>臺北市士林區大南路258號(工地)</t>
        </is>
      </c>
      <c r="G1273" t="n">
        <v>25.088583</v>
      </c>
      <c r="H1273" t="n">
        <v>121.520214</v>
      </c>
      <c r="I1273" t="n">
        <v>8</v>
      </c>
      <c r="J1273" t="n">
        <v>4</v>
      </c>
      <c r="K1273" t="n">
        <v>178.9</v>
      </c>
      <c r="L1273" t="inlineStr">
        <is>
          <t>Primary</t>
        </is>
      </c>
    </row>
    <row r="1274">
      <c r="A1274" t="n">
        <v>5</v>
      </c>
      <c r="B1274" s="28" t="inlineStr">
        <is>
          <t>S08</t>
        </is>
      </c>
      <c r="C1274" t="inlineStr">
        <is>
          <t>PZ-D</t>
        </is>
      </c>
      <c r="D1274" t="n">
        <v>4</v>
      </c>
      <c r="E1274" t="inlineStr">
        <is>
          <t>A0007</t>
        </is>
      </c>
      <c r="F1274" t="inlineStr">
        <is>
          <t>臺北市士林區中山北路５段505巷38號對面工地</t>
        </is>
      </c>
      <c r="G1274" t="n">
        <v>25.093022</v>
      </c>
      <c r="H1274" t="n">
        <v>121.526973</v>
      </c>
      <c r="I1274" t="n">
        <v>8</v>
      </c>
      <c r="J1274" t="n">
        <v>3</v>
      </c>
      <c r="K1274" t="n">
        <v>189.9</v>
      </c>
      <c r="L1274" t="inlineStr">
        <is>
          <t>Primary</t>
        </is>
      </c>
    </row>
    <row r="1275">
      <c r="A1275" t="n">
        <v>5</v>
      </c>
      <c r="B1275" s="28" t="inlineStr">
        <is>
          <t>S08</t>
        </is>
      </c>
      <c r="C1275" t="inlineStr">
        <is>
          <t>PZ-D</t>
        </is>
      </c>
      <c r="D1275" t="n">
        <v>5</v>
      </c>
      <c r="E1275" t="inlineStr">
        <is>
          <t>A0013</t>
        </is>
      </c>
      <c r="F1275" t="inlineStr">
        <is>
          <t>臺北市士林區中正路213巷47號</t>
        </is>
      </c>
      <c r="G1275" t="n">
        <v>25.093869</v>
      </c>
      <c r="H1275" t="n">
        <v>121.526884</v>
      </c>
      <c r="I1275" t="n">
        <v>8</v>
      </c>
      <c r="J1275" t="n">
        <v>2</v>
      </c>
      <c r="K1275" t="n">
        <v>199.9</v>
      </c>
      <c r="L1275" t="inlineStr">
        <is>
          <t>Primary</t>
        </is>
      </c>
    </row>
    <row r="1276">
      <c r="A1276" t="n">
        <v>5</v>
      </c>
      <c r="B1276" s="28" t="inlineStr">
        <is>
          <t>S08</t>
        </is>
      </c>
      <c r="C1276" t="inlineStr">
        <is>
          <t>PZ-D</t>
        </is>
      </c>
      <c r="D1276" t="n">
        <v>6</v>
      </c>
      <c r="E1276" t="inlineStr">
        <is>
          <t>A0016</t>
        </is>
      </c>
      <c r="F1276" t="inlineStr">
        <is>
          <t>臺北市士林區文林路689號</t>
        </is>
      </c>
      <c r="G1276" t="n">
        <v>25.101375</v>
      </c>
      <c r="H1276" t="n">
        <v>121.5219</v>
      </c>
      <c r="I1276" t="n">
        <v>8</v>
      </c>
      <c r="J1276" t="n">
        <v>3</v>
      </c>
      <c r="K1276" t="n">
        <v>210.9</v>
      </c>
      <c r="L1276" t="inlineStr">
        <is>
          <t>Primary</t>
        </is>
      </c>
    </row>
    <row r="1277">
      <c r="A1277" t="n">
        <v>5</v>
      </c>
      <c r="B1277" s="28" t="inlineStr">
        <is>
          <t>S08</t>
        </is>
      </c>
      <c r="C1277" t="inlineStr">
        <is>
          <t>PZ-D</t>
        </is>
      </c>
      <c r="D1277" t="n">
        <v>7</v>
      </c>
      <c r="E1277" t="inlineStr">
        <is>
          <t>A0038</t>
        </is>
      </c>
      <c r="F1277" t="inlineStr">
        <is>
          <t>臺北市士林區德行西路5號</t>
        </is>
      </c>
      <c r="G1277" t="n">
        <v>25.106314</v>
      </c>
      <c r="H1277" t="n">
        <v>121.524625</v>
      </c>
      <c r="I1277" t="n">
        <v>8</v>
      </c>
      <c r="J1277" t="n">
        <v>3</v>
      </c>
      <c r="K1277" t="n">
        <v>221.9</v>
      </c>
      <c r="L1277" t="inlineStr">
        <is>
          <t>Primary</t>
        </is>
      </c>
    </row>
    <row r="1278">
      <c r="A1278" t="n">
        <v>5</v>
      </c>
      <c r="B1278" s="28" t="inlineStr">
        <is>
          <t>S08</t>
        </is>
      </c>
      <c r="C1278" t="inlineStr">
        <is>
          <t>PZ-D</t>
        </is>
      </c>
      <c r="D1278" t="n">
        <v>8</v>
      </c>
      <c r="E1278" t="inlineStr">
        <is>
          <t>A0004</t>
        </is>
      </c>
      <c r="F1278" t="inlineStr">
        <is>
          <t>臺北市士林區士東路80號旁-5F</t>
        </is>
      </c>
      <c r="G1278" t="n">
        <v>25.11165</v>
      </c>
      <c r="H1278" t="n">
        <v>121.528684</v>
      </c>
      <c r="I1278" t="n">
        <v>20</v>
      </c>
      <c r="J1278" t="n">
        <v>3</v>
      </c>
      <c r="K1278" t="n">
        <v>244.9</v>
      </c>
      <c r="L1278" t="inlineStr">
        <is>
          <t>Primary</t>
        </is>
      </c>
    </row>
    <row r="1279">
      <c r="A1279" t="n">
        <v>5</v>
      </c>
      <c r="B1279" s="28" t="inlineStr">
        <is>
          <t>S08</t>
        </is>
      </c>
      <c r="C1279" t="inlineStr">
        <is>
          <t>PZ-D</t>
        </is>
      </c>
      <c r="D1279" t="n">
        <v>9</v>
      </c>
      <c r="E1279" t="inlineStr">
        <is>
          <t>A0003</t>
        </is>
      </c>
      <c r="F1279" t="inlineStr">
        <is>
          <t>臺北市士林區士東路80號旁-10F</t>
        </is>
      </c>
      <c r="G1279" t="n">
        <v>25.112069</v>
      </c>
      <c r="H1279" t="n">
        <v>121.528559</v>
      </c>
      <c r="I1279" t="n">
        <v>20</v>
      </c>
      <c r="J1279" t="n">
        <v>2</v>
      </c>
      <c r="K1279" t="n">
        <v>266.9</v>
      </c>
      <c r="L1279" t="inlineStr">
        <is>
          <t>Primary</t>
        </is>
      </c>
    </row>
    <row r="1280">
      <c r="A1280" t="n">
        <v>5</v>
      </c>
      <c r="B1280" s="28" t="inlineStr">
        <is>
          <t>S08</t>
        </is>
      </c>
      <c r="C1280" t="inlineStr">
        <is>
          <t>PZ-D</t>
        </is>
      </c>
      <c r="D1280" t="n">
        <v>10</v>
      </c>
      <c r="E1280" t="inlineStr">
        <is>
          <t>A0039</t>
        </is>
      </c>
      <c r="F1280" t="inlineStr">
        <is>
          <t>臺北市士林區德行東路260巷7號旁</t>
        </is>
      </c>
      <c r="G1280" t="n">
        <v>25.109335</v>
      </c>
      <c r="H1280" t="n">
        <v>121.534526</v>
      </c>
      <c r="I1280" t="n">
        <v>16</v>
      </c>
      <c r="J1280" t="n">
        <v>3</v>
      </c>
      <c r="K1280" t="n">
        <v>285.9</v>
      </c>
      <c r="L1280" t="inlineStr">
        <is>
          <t>Primary</t>
        </is>
      </c>
    </row>
    <row r="1281">
      <c r="A1281" t="n">
        <v>5</v>
      </c>
      <c r="B1281" s="28" t="inlineStr">
        <is>
          <t>S08</t>
        </is>
      </c>
      <c r="C1281" t="inlineStr">
        <is>
          <t>PZ-D</t>
        </is>
      </c>
      <c r="D1281" t="n">
        <v>11</v>
      </c>
      <c r="E1281" t="inlineStr">
        <is>
          <t>A0040</t>
        </is>
      </c>
      <c r="F1281" t="inlineStr">
        <is>
          <t>臺北市士林區德行東路345號</t>
        </is>
      </c>
      <c r="G1281" t="n">
        <v>25.110397</v>
      </c>
      <c r="H1281" t="n">
        <v>121.538022</v>
      </c>
      <c r="I1281" t="n">
        <v>8</v>
      </c>
      <c r="J1281" t="n">
        <v>3</v>
      </c>
      <c r="K1281" t="n">
        <v>296.9</v>
      </c>
      <c r="L1281" t="inlineStr">
        <is>
          <t>Primary</t>
        </is>
      </c>
    </row>
    <row r="1282">
      <c r="A1282" t="n">
        <v>5</v>
      </c>
      <c r="B1282" s="28" t="inlineStr">
        <is>
          <t>S08</t>
        </is>
      </c>
      <c r="C1282" t="inlineStr">
        <is>
          <t>PZ-D</t>
        </is>
      </c>
      <c r="D1282" t="n">
        <v>12</v>
      </c>
      <c r="E1282" t="inlineStr">
        <is>
          <t>A0001</t>
        </is>
      </c>
      <c r="F1282" t="inlineStr">
        <is>
          <t>臺北市士林區士東路300號工地</t>
        </is>
      </c>
      <c r="G1282" t="n">
        <v>25.113558</v>
      </c>
      <c r="H1282" t="n">
        <v>121.538016</v>
      </c>
      <c r="I1282" t="n">
        <v>8</v>
      </c>
      <c r="J1282" t="n">
        <v>3</v>
      </c>
      <c r="K1282" t="n">
        <v>307.9</v>
      </c>
      <c r="L1282" t="inlineStr">
        <is>
          <t>Primary</t>
        </is>
      </c>
    </row>
    <row r="1283">
      <c r="A1283" t="n">
        <v>5</v>
      </c>
      <c r="B1283" s="28" t="inlineStr">
        <is>
          <t>S08</t>
        </is>
      </c>
      <c r="C1283" t="inlineStr">
        <is>
          <t>PZ-D</t>
        </is>
      </c>
      <c r="D1283" t="n">
        <v>13</v>
      </c>
      <c r="E1283" t="inlineStr">
        <is>
          <t>A0030</t>
        </is>
      </c>
      <c r="F1283" t="inlineStr">
        <is>
          <t>臺北市士林區東山路25巷36-1號-銜接#75536</t>
        </is>
      </c>
      <c r="G1283" t="n">
        <v>25.11845</v>
      </c>
      <c r="H1283" t="n">
        <v>121.541166</v>
      </c>
      <c r="I1283" t="n">
        <v>8</v>
      </c>
      <c r="J1283" t="n">
        <v>3</v>
      </c>
      <c r="K1283" t="n">
        <v>318.9</v>
      </c>
      <c r="L1283" t="inlineStr">
        <is>
          <t>Primary</t>
        </is>
      </c>
    </row>
    <row r="1284">
      <c r="A1284" t="n">
        <v>5</v>
      </c>
      <c r="B1284" s="28" t="inlineStr">
        <is>
          <t>S08</t>
        </is>
      </c>
      <c r="C1284" t="inlineStr">
        <is>
          <t>PZ-D</t>
        </is>
      </c>
      <c r="D1284" t="n">
        <v>14</v>
      </c>
      <c r="E1284" t="inlineStr">
        <is>
          <t>A0025</t>
        </is>
      </c>
      <c r="F1284" t="inlineStr">
        <is>
          <t>臺北市士林區仰德大道三段119號</t>
        </is>
      </c>
      <c r="G1284" t="n">
        <v>25.121756</v>
      </c>
      <c r="H1284" t="n">
        <v>121.552161</v>
      </c>
      <c r="I1284" t="n">
        <v>32</v>
      </c>
      <c r="J1284" t="n">
        <v>3</v>
      </c>
      <c r="K1284" t="n">
        <v>353.9</v>
      </c>
      <c r="L1284" t="inlineStr">
        <is>
          <t>Primary</t>
        </is>
      </c>
    </row>
    <row r="1285">
      <c r="A1285" t="n">
        <v>5</v>
      </c>
      <c r="B1285" s="28" t="inlineStr">
        <is>
          <t>S08</t>
        </is>
      </c>
      <c r="C1285" t="inlineStr">
        <is>
          <t>PZ-D</t>
        </is>
      </c>
      <c r="D1285" t="n">
        <v>15</v>
      </c>
      <c r="E1285" t="inlineStr">
        <is>
          <t>A0023</t>
        </is>
      </c>
      <c r="F1285" t="inlineStr">
        <is>
          <t>臺北市士林區仰德大道二段127號</t>
        </is>
      </c>
      <c r="G1285" t="n">
        <v>25.108658</v>
      </c>
      <c r="H1285" t="n">
        <v>121.546058</v>
      </c>
      <c r="I1285" t="n">
        <v>8</v>
      </c>
      <c r="J1285" t="n">
        <v>3.8</v>
      </c>
      <c r="K1285" t="n">
        <v>365.6</v>
      </c>
      <c r="L1285" t="inlineStr">
        <is>
          <t>Primary</t>
        </is>
      </c>
    </row>
    <row r="1286">
      <c r="A1286" t="n">
        <v>5</v>
      </c>
      <c r="B1286" s="28" t="inlineStr">
        <is>
          <t>S08</t>
        </is>
      </c>
      <c r="C1286" t="inlineStr">
        <is>
          <t>PZ-D</t>
        </is>
      </c>
      <c r="D1286" t="n">
        <v>16</v>
      </c>
      <c r="E1286" t="inlineStr">
        <is>
          <t>A0024</t>
        </is>
      </c>
      <c r="F1286" t="inlineStr">
        <is>
          <t>臺北市士林區仰德大道二段67巷</t>
        </is>
      </c>
      <c r="G1286" t="n">
        <v>25.107117</v>
      </c>
      <c r="H1286" t="n">
        <v>121.544605</v>
      </c>
      <c r="I1286" t="n">
        <v>8</v>
      </c>
      <c r="J1286" t="n">
        <v>3</v>
      </c>
      <c r="K1286" t="n">
        <v>376.6</v>
      </c>
      <c r="L1286" t="inlineStr">
        <is>
          <t>Primary</t>
        </is>
      </c>
    </row>
    <row r="1287">
      <c r="A1287" t="n">
        <v>5</v>
      </c>
      <c r="B1287" s="28" t="inlineStr">
        <is>
          <t>S08</t>
        </is>
      </c>
      <c r="C1287" t="inlineStr">
        <is>
          <t>PZ-D</t>
        </is>
      </c>
      <c r="D1287" t="n">
        <v>17</v>
      </c>
      <c r="E1287" t="inlineStr">
        <is>
          <t>A0022</t>
        </is>
      </c>
      <c r="F1287" t="inlineStr">
        <is>
          <t>臺北市士林區仰德大道一段91巷5弄1號</t>
        </is>
      </c>
      <c r="G1287" t="n">
        <v>25.107225</v>
      </c>
      <c r="H1287" t="n">
        <v>121.538422</v>
      </c>
      <c r="I1287" t="n">
        <v>8</v>
      </c>
      <c r="J1287" t="n">
        <v>3</v>
      </c>
      <c r="K1287" t="n">
        <v>387.6</v>
      </c>
      <c r="L1287" t="inlineStr">
        <is>
          <t>Primary</t>
        </is>
      </c>
    </row>
    <row r="1288">
      <c r="A1288" t="n">
        <v>5</v>
      </c>
      <c r="B1288" s="28" t="inlineStr">
        <is>
          <t>S08</t>
        </is>
      </c>
      <c r="C1288" t="inlineStr">
        <is>
          <t>PZ-D</t>
        </is>
      </c>
      <c r="D1288" t="n">
        <v>18</v>
      </c>
      <c r="E1288" t="inlineStr">
        <is>
          <t>A0072</t>
        </is>
      </c>
      <c r="F1288" t="inlineStr">
        <is>
          <t>臺北市中山區(內湖區)劍南路上-附地標</t>
        </is>
      </c>
      <c r="G1288" t="n">
        <v>25.088286</v>
      </c>
      <c r="H1288" t="n">
        <v>121.554089</v>
      </c>
      <c r="I1288" t="n">
        <v>8</v>
      </c>
      <c r="J1288" t="n">
        <v>6.3</v>
      </c>
      <c r="K1288" t="n">
        <v>402</v>
      </c>
      <c r="L1288" t="inlineStr">
        <is>
          <t>Primary</t>
        </is>
      </c>
    </row>
    <row r="1289">
      <c r="A1289" t="n">
        <v>5</v>
      </c>
      <c r="B1289" s="28" t="inlineStr">
        <is>
          <t>S08</t>
        </is>
      </c>
      <c r="C1289" t="inlineStr">
        <is>
          <t>PZ-D</t>
        </is>
      </c>
      <c r="D1289" t="n">
        <v>19</v>
      </c>
      <c r="E1289" t="inlineStr">
        <is>
          <t>A0126</t>
        </is>
      </c>
      <c r="F1289" t="inlineStr">
        <is>
          <t>臺北市內湖區堤頂大道二段405號</t>
        </is>
      </c>
      <c r="G1289" t="n">
        <v>25.080203</v>
      </c>
      <c r="H1289" t="n">
        <v>121.564114</v>
      </c>
      <c r="I1289" t="n">
        <v>8</v>
      </c>
      <c r="J1289" t="n">
        <v>3.2</v>
      </c>
      <c r="K1289" t="n">
        <v>413.2</v>
      </c>
      <c r="L1289" t="inlineStr">
        <is>
          <t>Primary</t>
        </is>
      </c>
    </row>
    <row r="1290">
      <c r="A1290" t="n">
        <v>5</v>
      </c>
      <c r="B1290" s="28" t="inlineStr">
        <is>
          <t>S08</t>
        </is>
      </c>
      <c r="C1290" t="inlineStr">
        <is>
          <t>PZ-D</t>
        </is>
      </c>
      <c r="D1290" t="n">
        <v>20</v>
      </c>
      <c r="E1290" t="inlineStr">
        <is>
          <t>A0133</t>
        </is>
      </c>
      <c r="F1290" t="inlineStr">
        <is>
          <t>臺北市內湖區環山路二段50巷10弄6號</t>
        </is>
      </c>
      <c r="G1290" t="n">
        <v>25.0872</v>
      </c>
      <c r="H1290" t="n">
        <v>121.573539</v>
      </c>
      <c r="I1290" t="n">
        <v>8</v>
      </c>
      <c r="J1290" t="n">
        <v>3</v>
      </c>
      <c r="K1290" t="n">
        <v>424.2</v>
      </c>
      <c r="L1290" t="inlineStr">
        <is>
          <t>Primary</t>
        </is>
      </c>
    </row>
    <row r="1291">
      <c r="A1291" t="n">
        <v>5</v>
      </c>
      <c r="B1291" s="28" t="inlineStr">
        <is>
          <t>S08</t>
        </is>
      </c>
      <c r="C1291" t="inlineStr">
        <is>
          <t>PZ-D</t>
        </is>
      </c>
      <c r="D1291" t="n">
        <v>21</v>
      </c>
      <c r="E1291" t="inlineStr">
        <is>
          <t>A0099</t>
        </is>
      </c>
      <c r="F1291" t="inlineStr">
        <is>
          <t>臺北市內湖區大湖街158巷11號</t>
        </is>
      </c>
      <c r="G1291" t="n">
        <v>25.083447</v>
      </c>
      <c r="H1291" t="n">
        <v>121.599661</v>
      </c>
      <c r="I1291" t="n">
        <v>8</v>
      </c>
      <c r="J1291" t="n">
        <v>6.4</v>
      </c>
      <c r="K1291" t="n">
        <v>438.6</v>
      </c>
      <c r="L1291" t="inlineStr">
        <is>
          <t>Primary</t>
        </is>
      </c>
    </row>
    <row r="1292">
      <c r="A1292" t="n">
        <v>5</v>
      </c>
      <c r="B1292" s="28" t="inlineStr">
        <is>
          <t>S08</t>
        </is>
      </c>
      <c r="C1292" t="inlineStr">
        <is>
          <t>PZ-D</t>
        </is>
      </c>
      <c r="D1292" t="n">
        <v>22</v>
      </c>
      <c r="E1292" t="inlineStr">
        <is>
          <t>A0101</t>
        </is>
      </c>
      <c r="F1292" t="inlineStr">
        <is>
          <t>臺北市內湖區大湖街160巷22弄7號</t>
        </is>
      </c>
      <c r="G1292" t="n">
        <v>25.08207</v>
      </c>
      <c r="H1292" t="n">
        <v>121.600714</v>
      </c>
      <c r="I1292" t="n">
        <v>8</v>
      </c>
      <c r="J1292" t="n">
        <v>3</v>
      </c>
      <c r="K1292" t="n">
        <v>449.6</v>
      </c>
      <c r="L1292" t="inlineStr">
        <is>
          <t>Primary</t>
        </is>
      </c>
    </row>
    <row r="1293">
      <c r="A1293" t="n">
        <v>5</v>
      </c>
      <c r="B1293" s="28" t="inlineStr">
        <is>
          <t>S08</t>
        </is>
      </c>
      <c r="C1293" t="inlineStr">
        <is>
          <t>PZ-D</t>
        </is>
      </c>
      <c r="D1293" t="n">
        <v>23</v>
      </c>
      <c r="E1293" t="inlineStr">
        <is>
          <t>A0103</t>
        </is>
      </c>
      <c r="F1293" t="inlineStr">
        <is>
          <t>臺北市內湖區大湖街160巷27號</t>
        </is>
      </c>
      <c r="G1293" t="n">
        <v>25.082645</v>
      </c>
      <c r="H1293" t="n">
        <v>121.601536</v>
      </c>
      <c r="I1293" t="n">
        <v>8</v>
      </c>
      <c r="J1293" t="n">
        <v>3</v>
      </c>
      <c r="K1293" t="n">
        <v>460.6</v>
      </c>
      <c r="L1293" t="inlineStr">
        <is>
          <t>Primary</t>
        </is>
      </c>
    </row>
    <row r="1294">
      <c r="A1294" t="n">
        <v>5</v>
      </c>
      <c r="B1294" s="28" t="inlineStr">
        <is>
          <t>S08</t>
        </is>
      </c>
      <c r="C1294" t="inlineStr">
        <is>
          <t>PZ-D</t>
        </is>
      </c>
      <c r="D1294" t="n">
        <v>24</v>
      </c>
      <c r="E1294" t="inlineStr">
        <is>
          <t>A0118</t>
        </is>
      </c>
      <c r="F1294" t="inlineStr">
        <is>
          <t>臺北市內湖區成功路五段31號-大湖公園附近</t>
        </is>
      </c>
      <c r="G1294" t="n">
        <v>25.082534</v>
      </c>
      <c r="H1294" t="n">
        <v>121.605872</v>
      </c>
      <c r="I1294" t="n">
        <v>8</v>
      </c>
      <c r="J1294" t="n">
        <v>3</v>
      </c>
      <c r="K1294" t="n">
        <v>471.6</v>
      </c>
      <c r="L1294" t="inlineStr">
        <is>
          <t>Primary</t>
        </is>
      </c>
    </row>
    <row r="1295">
      <c r="A1295" t="n">
        <v>5</v>
      </c>
      <c r="B1295" s="28" t="inlineStr">
        <is>
          <t>S08</t>
        </is>
      </c>
      <c r="C1295" t="inlineStr">
        <is>
          <t>PZ-D</t>
        </is>
      </c>
      <c r="D1295" t="n">
        <v>25</v>
      </c>
      <c r="E1295" t="inlineStr">
        <is>
          <t>A0109</t>
        </is>
      </c>
      <c r="F1295" t="inlineStr">
        <is>
          <t>臺北市內湖區民權東路6段289巷</t>
        </is>
      </c>
      <c r="G1295" t="n">
        <v>25.068628</v>
      </c>
      <c r="H1295" t="n">
        <v>121.601469</v>
      </c>
      <c r="I1295" t="n">
        <v>8</v>
      </c>
      <c r="J1295" t="n">
        <v>3.9</v>
      </c>
      <c r="K1295" t="n">
        <v>483.5</v>
      </c>
      <c r="L1295" t="inlineStr">
        <is>
          <t>Primary</t>
        </is>
      </c>
    </row>
    <row r="1296">
      <c r="A1296" t="n">
        <v>5</v>
      </c>
      <c r="B1296" s="28" t="inlineStr">
        <is>
          <t>S08</t>
        </is>
      </c>
      <c r="C1296" t="inlineStr">
        <is>
          <t>PZ-B</t>
        </is>
      </c>
      <c r="D1296" t="n">
        <v>26</v>
      </c>
      <c r="E1296" t="inlineStr">
        <is>
          <t>H0021</t>
        </is>
      </c>
      <c r="F1296" t="inlineStr">
        <is>
          <t>桃園市八德區東勇街490巷36號</t>
        </is>
      </c>
      <c r="G1296" t="n">
        <v>24.968159</v>
      </c>
      <c r="H1296" t="n">
        <v>121.310981</v>
      </c>
      <c r="I1296" t="n">
        <v>8</v>
      </c>
      <c r="J1296" t="n">
        <v>31.3</v>
      </c>
      <c r="K1296" t="n">
        <v>522.8</v>
      </c>
      <c r="L1296" s="21" t="inlineStr">
        <is>
          <t>Support</t>
        </is>
      </c>
    </row>
    <row r="1297">
      <c r="A1297" t="n">
        <v>6</v>
      </c>
      <c r="B1297" s="28" t="inlineStr">
        <is>
          <t>S08</t>
        </is>
      </c>
      <c r="C1297" t="inlineStr">
        <is>
          <t>PZ-D</t>
        </is>
      </c>
      <c r="D1297" t="n">
        <v>1</v>
      </c>
      <c r="E1297" t="inlineStr">
        <is>
          <t>K0042</t>
        </is>
      </c>
      <c r="F1297" t="inlineStr">
        <is>
          <t>苗栗縣竹南鎮鳳梨坑19-3號</t>
        </is>
      </c>
      <c r="G1297" t="n">
        <v>24.72638816666667</v>
      </c>
      <c r="H1297" t="n">
        <v>120.8981496666667</v>
      </c>
      <c r="I1297" t="n">
        <v>96</v>
      </c>
      <c r="J1297" t="n">
        <v>38.8</v>
      </c>
      <c r="K1297" t="n">
        <v>134.8</v>
      </c>
      <c r="L1297" t="inlineStr">
        <is>
          <t>Primary</t>
        </is>
      </c>
    </row>
    <row r="1298">
      <c r="A1298" t="n">
        <v>6</v>
      </c>
      <c r="B1298" s="28" t="inlineStr">
        <is>
          <t>S08</t>
        </is>
      </c>
      <c r="C1298" t="inlineStr">
        <is>
          <t>PZ-D</t>
        </is>
      </c>
      <c r="D1298" t="n">
        <v>2</v>
      </c>
      <c r="E1298" t="inlineStr">
        <is>
          <t>K0017</t>
        </is>
      </c>
      <c r="F1298" t="inlineStr">
        <is>
          <t>苗栗縣竹南鎮天祥街二段327號-杏安長照</t>
        </is>
      </c>
      <c r="G1298" t="n">
        <v>24.710339</v>
      </c>
      <c r="H1298" t="n">
        <v>120.868284</v>
      </c>
      <c r="I1298" t="n">
        <v>8</v>
      </c>
      <c r="J1298" t="n">
        <v>8.4</v>
      </c>
      <c r="K1298" t="n">
        <v>151.2</v>
      </c>
      <c r="L1298" t="inlineStr">
        <is>
          <t>Primary</t>
        </is>
      </c>
    </row>
    <row r="1299">
      <c r="A1299" t="n">
        <v>6</v>
      </c>
      <c r="B1299" s="28" t="inlineStr">
        <is>
          <t>S08</t>
        </is>
      </c>
      <c r="C1299" t="inlineStr">
        <is>
          <t>PZ-D</t>
        </is>
      </c>
      <c r="D1299" t="n">
        <v>3</v>
      </c>
      <c r="E1299" t="inlineStr">
        <is>
          <t>K0044</t>
        </is>
      </c>
      <c r="F1299" t="inlineStr">
        <is>
          <t>苗栗縣竹南鎮龍昇街53號旁</t>
        </is>
      </c>
      <c r="G1299" t="n">
        <v>24.696839</v>
      </c>
      <c r="H1299" t="n">
        <v>120.867167</v>
      </c>
      <c r="I1299" t="n">
        <v>16</v>
      </c>
      <c r="J1299" t="n">
        <v>3.6</v>
      </c>
      <c r="K1299" t="n">
        <v>170.8</v>
      </c>
      <c r="L1299" t="inlineStr">
        <is>
          <t>Primary</t>
        </is>
      </c>
    </row>
    <row r="1300">
      <c r="A1300" t="n">
        <v>6</v>
      </c>
      <c r="B1300" s="28" t="inlineStr">
        <is>
          <t>S08</t>
        </is>
      </c>
      <c r="C1300" t="inlineStr">
        <is>
          <t>PZ-D</t>
        </is>
      </c>
      <c r="D1300" t="n">
        <v>4</v>
      </c>
      <c r="E1300" t="inlineStr">
        <is>
          <t>K0040</t>
        </is>
      </c>
      <c r="F1300" t="inlineStr">
        <is>
          <t>苗栗縣竹南鎮博愛街445號旁</t>
        </is>
      </c>
      <c r="G1300" t="n">
        <v>24.689147</v>
      </c>
      <c r="H1300" t="n">
        <v>120.865433</v>
      </c>
      <c r="I1300" t="n">
        <v>8</v>
      </c>
      <c r="J1300" t="n">
        <v>3</v>
      </c>
      <c r="K1300" t="n">
        <v>181.8</v>
      </c>
      <c r="L1300" t="inlineStr">
        <is>
          <t>Primary</t>
        </is>
      </c>
    </row>
    <row r="1301">
      <c r="A1301" t="n">
        <v>6</v>
      </c>
      <c r="B1301" s="28" t="inlineStr">
        <is>
          <t>S08</t>
        </is>
      </c>
      <c r="C1301" t="inlineStr">
        <is>
          <t>PZ-D</t>
        </is>
      </c>
      <c r="D1301" t="n">
        <v>5</v>
      </c>
      <c r="E1301" t="inlineStr">
        <is>
          <t>K0039</t>
        </is>
      </c>
      <c r="F1301" t="inlineStr">
        <is>
          <t>苗栗縣竹南鎮博愛街271號旁</t>
        </is>
      </c>
      <c r="G1301" t="n">
        <v>24.687502</v>
      </c>
      <c r="H1301" t="n">
        <v>120.871111</v>
      </c>
      <c r="I1301" t="n">
        <v>8</v>
      </c>
      <c r="J1301" t="n">
        <v>3</v>
      </c>
      <c r="K1301" t="n">
        <v>192.8</v>
      </c>
      <c r="L1301" t="inlineStr">
        <is>
          <t>Primary</t>
        </is>
      </c>
    </row>
    <row r="1302">
      <c r="A1302" t="n">
        <v>6</v>
      </c>
      <c r="B1302" s="28" t="inlineStr">
        <is>
          <t>S08</t>
        </is>
      </c>
      <c r="C1302" t="inlineStr">
        <is>
          <t>PZ-D</t>
        </is>
      </c>
      <c r="D1302" t="n">
        <v>6</v>
      </c>
      <c r="E1302" t="inlineStr">
        <is>
          <t>K0050</t>
        </is>
      </c>
      <c r="F1302" t="inlineStr">
        <is>
          <t>苗栗縣造橋鄉仁愛路29號-談文車站</t>
        </is>
      </c>
      <c r="G1302" t="n">
        <v>24.656403</v>
      </c>
      <c r="H1302" t="n">
        <v>120.858372</v>
      </c>
      <c r="I1302" t="n">
        <v>8</v>
      </c>
      <c r="J1302" t="n">
        <v>8.9</v>
      </c>
      <c r="K1302" t="n">
        <v>209.6</v>
      </c>
      <c r="L1302" t="inlineStr">
        <is>
          <t>Primary</t>
        </is>
      </c>
    </row>
    <row r="1303">
      <c r="A1303" t="n">
        <v>6</v>
      </c>
      <c r="B1303" s="28" t="inlineStr">
        <is>
          <t>S08</t>
        </is>
      </c>
      <c r="C1303" t="inlineStr">
        <is>
          <t>PZ-D</t>
        </is>
      </c>
      <c r="D1303" t="n">
        <v>7</v>
      </c>
      <c r="E1303" t="inlineStr">
        <is>
          <t>K0053</t>
        </is>
      </c>
      <c r="F1303" t="inlineStr">
        <is>
          <t>苗栗縣造橋鄉龍昇村-寶吉祥佛寺24°38'47.1"N 120°50'15.3"E</t>
        </is>
      </c>
      <c r="G1303" t="n">
        <v>24.633148</v>
      </c>
      <c r="H1303" t="n">
        <v>120.838136</v>
      </c>
      <c r="I1303" t="n">
        <v>8</v>
      </c>
      <c r="J1303" t="n">
        <v>7.9</v>
      </c>
      <c r="K1303" t="n">
        <v>225.6</v>
      </c>
      <c r="L1303" t="inlineStr">
        <is>
          <t>Primary</t>
        </is>
      </c>
    </row>
    <row r="1304">
      <c r="A1304" t="n">
        <v>6</v>
      </c>
      <c r="B1304" s="28" t="inlineStr">
        <is>
          <t>S08</t>
        </is>
      </c>
      <c r="C1304" t="inlineStr">
        <is>
          <t>PZ-D</t>
        </is>
      </c>
      <c r="D1304" t="n">
        <v>8</v>
      </c>
      <c r="E1304" t="inlineStr">
        <is>
          <t>K0052</t>
        </is>
      </c>
      <c r="F1304" t="inlineStr">
        <is>
          <t>苗栗縣造橋鄉龍昇村五鄰九車籠8-1號對面工地-依座標</t>
        </is>
      </c>
      <c r="G1304" t="n">
        <v>24.629953</v>
      </c>
      <c r="H1304" t="n">
        <v>120.836705</v>
      </c>
      <c r="I1304" t="n">
        <v>8</v>
      </c>
      <c r="J1304" t="n">
        <v>3</v>
      </c>
      <c r="K1304" t="n">
        <v>236.6</v>
      </c>
      <c r="L1304" t="inlineStr">
        <is>
          <t>Primary</t>
        </is>
      </c>
    </row>
    <row r="1305">
      <c r="A1305" t="n">
        <v>6</v>
      </c>
      <c r="B1305" s="28" t="inlineStr">
        <is>
          <t>S08</t>
        </is>
      </c>
      <c r="C1305" t="inlineStr">
        <is>
          <t>PZ-D</t>
        </is>
      </c>
      <c r="D1305" t="n">
        <v>9</v>
      </c>
      <c r="E1305" t="inlineStr">
        <is>
          <t>K0045</t>
        </is>
      </c>
      <c r="F1305" t="inlineStr">
        <is>
          <t>苗栗縣後龍鎮114-1號-後龍清海宮</t>
        </is>
      </c>
      <c r="G1305" t="n">
        <v>24.599547</v>
      </c>
      <c r="H1305" t="n">
        <v>120.722845</v>
      </c>
      <c r="I1305" t="n">
        <v>80</v>
      </c>
      <c r="J1305" t="n">
        <v>12</v>
      </c>
      <c r="K1305" t="n">
        <v>328.6</v>
      </c>
      <c r="L1305" t="inlineStr">
        <is>
          <t>Primary</t>
        </is>
      </c>
    </row>
    <row r="1306">
      <c r="A1306" t="n">
        <v>6</v>
      </c>
      <c r="B1306" s="28" t="inlineStr">
        <is>
          <t>S08</t>
        </is>
      </c>
      <c r="C1306" t="inlineStr">
        <is>
          <t>PZ-C</t>
        </is>
      </c>
      <c r="D1306" t="n">
        <v>10</v>
      </c>
      <c r="E1306" t="inlineStr">
        <is>
          <t>O0092</t>
        </is>
      </c>
      <c r="F1306" t="inlineStr">
        <is>
          <t>新竹市香山區南港街-南港賞鳥公園斜對面</t>
        </is>
      </c>
      <c r="G1306" t="n">
        <v>24.743933</v>
      </c>
      <c r="H1306" t="n">
        <v>120.898333</v>
      </c>
      <c r="I1306" t="n">
        <v>8</v>
      </c>
      <c r="J1306" t="n">
        <v>23.9</v>
      </c>
      <c r="K1306" t="n">
        <v>360.5</v>
      </c>
      <c r="L1306" s="21" t="inlineStr">
        <is>
          <t>Support</t>
        </is>
      </c>
    </row>
    <row r="1307">
      <c r="A1307" t="n">
        <v>6</v>
      </c>
      <c r="B1307" s="28" t="inlineStr">
        <is>
          <t>S08</t>
        </is>
      </c>
      <c r="C1307" t="inlineStr">
        <is>
          <t>PZ-C</t>
        </is>
      </c>
      <c r="D1307" t="n">
        <v>11</v>
      </c>
      <c r="E1307" t="inlineStr">
        <is>
          <t>O0087</t>
        </is>
      </c>
      <c r="F1307" t="inlineStr">
        <is>
          <t>新竹市香山區中華路六段89號附近</t>
        </is>
      </c>
      <c r="G1307" t="n">
        <v>24.748822</v>
      </c>
      <c r="H1307" t="n">
        <v>120.908508</v>
      </c>
      <c r="I1307" t="n">
        <v>8</v>
      </c>
      <c r="J1307" t="n">
        <v>3</v>
      </c>
      <c r="K1307" t="n">
        <v>371.5</v>
      </c>
      <c r="L1307" s="21" t="inlineStr">
        <is>
          <t>Support</t>
        </is>
      </c>
    </row>
    <row r="1308">
      <c r="A1308" t="n">
        <v>6</v>
      </c>
      <c r="B1308" s="28" t="inlineStr">
        <is>
          <t>S08</t>
        </is>
      </c>
      <c r="C1308" t="inlineStr">
        <is>
          <t>PZ-C</t>
        </is>
      </c>
      <c r="D1308" t="n">
        <v>12</v>
      </c>
      <c r="E1308" t="inlineStr">
        <is>
          <t>O0079</t>
        </is>
      </c>
      <c r="F1308" t="inlineStr">
        <is>
          <t>新竹市東區柴橋路100巷158號-出入須換人車證</t>
        </is>
      </c>
      <c r="G1308" t="n">
        <v>24.769756</v>
      </c>
      <c r="H1308" t="n">
        <v>120.962519</v>
      </c>
      <c r="I1308" t="n">
        <v>8</v>
      </c>
      <c r="J1308" t="n">
        <v>14.2</v>
      </c>
      <c r="K1308" t="n">
        <v>393.7</v>
      </c>
      <c r="L1308" s="21" t="inlineStr">
        <is>
          <t>Support</t>
        </is>
      </c>
    </row>
    <row r="1309">
      <c r="A1309" t="n">
        <v>6</v>
      </c>
      <c r="B1309" s="28" t="inlineStr">
        <is>
          <t>S08</t>
        </is>
      </c>
      <c r="C1309" t="inlineStr">
        <is>
          <t>PZ-C</t>
        </is>
      </c>
      <c r="D1309" t="n">
        <v>13</v>
      </c>
      <c r="E1309" t="inlineStr">
        <is>
          <t>J0219</t>
        </is>
      </c>
      <c r="F1309" t="inlineStr">
        <is>
          <t>新竹縣寶山鄉大雅路２段140巷7號(寶山交流道旁啟德工地)</t>
        </is>
      </c>
      <c r="G1309" t="n">
        <v>24.758808</v>
      </c>
      <c r="H1309" t="n">
        <v>121.010319</v>
      </c>
      <c r="I1309" t="n">
        <v>16</v>
      </c>
      <c r="J1309" t="n">
        <v>11.9</v>
      </c>
      <c r="K1309" t="n">
        <v>421.7</v>
      </c>
      <c r="L1309" s="21" t="inlineStr">
        <is>
          <t>Support</t>
        </is>
      </c>
    </row>
    <row r="1310">
      <c r="A1310" t="n">
        <v>1</v>
      </c>
      <c r="B1310" s="29" t="inlineStr">
        <is>
          <t>S09</t>
        </is>
      </c>
      <c r="C1310" t="inlineStr">
        <is>
          <t>PZ-D</t>
        </is>
      </c>
      <c r="D1310" t="n">
        <v>1</v>
      </c>
      <c r="E1310" t="inlineStr">
        <is>
          <t>F0329</t>
        </is>
      </c>
      <c r="F1310" t="inlineStr">
        <is>
          <t>新北市鶯歌區國中街103號對面工地</t>
        </is>
      </c>
      <c r="G1310" t="n">
        <v>24.941511</v>
      </c>
      <c r="H1310" t="n">
        <v>121.341577</v>
      </c>
      <c r="I1310" t="n">
        <v>24</v>
      </c>
      <c r="J1310" t="n">
        <v>12.2</v>
      </c>
      <c r="K1310" t="n">
        <v>36.2</v>
      </c>
      <c r="L1310" t="inlineStr">
        <is>
          <t>Primary</t>
        </is>
      </c>
    </row>
    <row r="1311">
      <c r="A1311" t="n">
        <v>1</v>
      </c>
      <c r="B1311" s="29" t="inlineStr">
        <is>
          <t>S09</t>
        </is>
      </c>
      <c r="C1311" t="inlineStr">
        <is>
          <t>PZ-D</t>
        </is>
      </c>
      <c r="D1311" t="n">
        <v>2</v>
      </c>
      <c r="E1311" t="inlineStr">
        <is>
          <t>F0327</t>
        </is>
      </c>
      <c r="F1311" t="inlineStr">
        <is>
          <t>新北市鶯歌區永昌街18號旁</t>
        </is>
      </c>
      <c r="G1311" t="n">
        <v>24.949822</v>
      </c>
      <c r="H1311" t="n">
        <v>121.343314</v>
      </c>
      <c r="I1311" t="n">
        <v>8</v>
      </c>
      <c r="J1311" t="n">
        <v>3</v>
      </c>
      <c r="K1311" t="n">
        <v>47.2</v>
      </c>
      <c r="L1311" t="inlineStr">
        <is>
          <t>Primary</t>
        </is>
      </c>
    </row>
    <row r="1312">
      <c r="A1312" t="n">
        <v>1</v>
      </c>
      <c r="B1312" s="29" t="inlineStr">
        <is>
          <t>S09</t>
        </is>
      </c>
      <c r="C1312" t="inlineStr">
        <is>
          <t>PZ-D</t>
        </is>
      </c>
      <c r="D1312" t="n">
        <v>3</v>
      </c>
      <c r="E1312" t="inlineStr">
        <is>
          <t>F0328</t>
        </is>
      </c>
      <c r="F1312" t="inlineStr">
        <is>
          <t>新北市鶯歌區育英街67號對面-鶯歌國小停車場育英街入口)</t>
        </is>
      </c>
      <c r="G1312" t="n">
        <v>24.952742</v>
      </c>
      <c r="H1312" t="n">
        <v>121.347319</v>
      </c>
      <c r="I1312" t="n">
        <v>8</v>
      </c>
      <c r="J1312" t="n">
        <v>3</v>
      </c>
      <c r="K1312" t="n">
        <v>58.2</v>
      </c>
      <c r="L1312" t="inlineStr">
        <is>
          <t>Primary</t>
        </is>
      </c>
    </row>
    <row r="1313">
      <c r="A1313" t="n">
        <v>1</v>
      </c>
      <c r="B1313" s="29" t="inlineStr">
        <is>
          <t>S09</t>
        </is>
      </c>
      <c r="C1313" t="inlineStr">
        <is>
          <t>PZ-D</t>
        </is>
      </c>
      <c r="D1313" t="n">
        <v>4</v>
      </c>
      <c r="E1313" t="inlineStr">
        <is>
          <t>F0326</t>
        </is>
      </c>
      <c r="F1313" t="inlineStr">
        <is>
          <t>新北市鶯歌區中正一路305號</t>
        </is>
      </c>
      <c r="G1313" t="n">
        <v>24.957078</v>
      </c>
      <c r="H1313" t="n">
        <v>121.356419</v>
      </c>
      <c r="I1313" t="n">
        <v>8</v>
      </c>
      <c r="J1313" t="n">
        <v>3</v>
      </c>
      <c r="K1313" t="n">
        <v>69.2</v>
      </c>
      <c r="L1313" t="inlineStr">
        <is>
          <t>Primary</t>
        </is>
      </c>
    </row>
    <row r="1314">
      <c r="A1314" t="n">
        <v>1</v>
      </c>
      <c r="B1314" s="29" t="inlineStr">
        <is>
          <t>S09</t>
        </is>
      </c>
      <c r="C1314" t="inlineStr">
        <is>
          <t>PZ-D</t>
        </is>
      </c>
      <c r="D1314" t="n">
        <v>5</v>
      </c>
      <c r="E1314" t="inlineStr">
        <is>
          <t>F0325</t>
        </is>
      </c>
      <c r="F1314" t="inlineStr">
        <is>
          <t>新北市鶯歌區三鶯路130號-德欣冷凍</t>
        </is>
      </c>
      <c r="G1314" t="n">
        <v>24.944344</v>
      </c>
      <c r="H1314" t="n">
        <v>121.359886</v>
      </c>
      <c r="I1314" t="n">
        <v>8</v>
      </c>
      <c r="J1314" t="n">
        <v>3.5</v>
      </c>
      <c r="K1314" t="n">
        <v>80.7</v>
      </c>
      <c r="L1314" t="inlineStr">
        <is>
          <t>Primary</t>
        </is>
      </c>
    </row>
    <row r="1315">
      <c r="A1315" t="n">
        <v>1</v>
      </c>
      <c r="B1315" s="29" t="inlineStr">
        <is>
          <t>S09</t>
        </is>
      </c>
      <c r="C1315" t="inlineStr">
        <is>
          <t>PZ-D</t>
        </is>
      </c>
      <c r="D1315" t="n">
        <v>6</v>
      </c>
      <c r="E1315" t="inlineStr">
        <is>
          <t>F0056</t>
        </is>
      </c>
      <c r="F1315" t="inlineStr">
        <is>
          <t>新北市三峽區隆恩街178巷(從三鶯路128號對面進)</t>
        </is>
      </c>
      <c r="G1315" t="n">
        <v>24.944608</v>
      </c>
      <c r="H1315" t="n">
        <v>121.361822</v>
      </c>
      <c r="I1315" t="n">
        <v>8</v>
      </c>
      <c r="J1315" t="n">
        <v>3</v>
      </c>
      <c r="K1315" t="n">
        <v>91.7</v>
      </c>
      <c r="L1315" t="inlineStr">
        <is>
          <t>Primary</t>
        </is>
      </c>
    </row>
    <row r="1316">
      <c r="A1316" t="n">
        <v>1</v>
      </c>
      <c r="B1316" s="29" t="inlineStr">
        <is>
          <t>S09</t>
        </is>
      </c>
      <c r="C1316" t="inlineStr">
        <is>
          <t>PZ-D</t>
        </is>
      </c>
      <c r="D1316" t="n">
        <v>7</v>
      </c>
      <c r="E1316" t="inlineStr">
        <is>
          <t>F0055</t>
        </is>
      </c>
      <c r="F1316" t="inlineStr">
        <is>
          <t>新北市三峽區國際一街66號旁工地</t>
        </is>
      </c>
      <c r="G1316" t="n">
        <v>24.942144</v>
      </c>
      <c r="H1316" t="n">
        <v>121.37275</v>
      </c>
      <c r="I1316" t="n">
        <v>8</v>
      </c>
      <c r="J1316" t="n">
        <v>3</v>
      </c>
      <c r="K1316" t="n">
        <v>102.7</v>
      </c>
      <c r="L1316" t="inlineStr">
        <is>
          <t>Primary</t>
        </is>
      </c>
    </row>
    <row r="1317">
      <c r="A1317" t="n">
        <v>1</v>
      </c>
      <c r="B1317" s="29" t="inlineStr">
        <is>
          <t>S09</t>
        </is>
      </c>
      <c r="C1317" t="inlineStr">
        <is>
          <t>PZ-D</t>
        </is>
      </c>
      <c r="D1317" t="n">
        <v>8</v>
      </c>
      <c r="E1317" t="inlineStr">
        <is>
          <t>F0054</t>
        </is>
      </c>
      <c r="F1317" t="inlineStr">
        <is>
          <t>新北市三峽區國際一街15號旁</t>
        </is>
      </c>
      <c r="G1317" t="n">
        <v>24.943008</v>
      </c>
      <c r="H1317" t="n">
        <v>121.37422</v>
      </c>
      <c r="I1317" t="n">
        <v>8</v>
      </c>
      <c r="J1317" t="n">
        <v>3</v>
      </c>
      <c r="K1317" t="n">
        <v>113.7</v>
      </c>
      <c r="L1317" t="inlineStr">
        <is>
          <t>Primary</t>
        </is>
      </c>
    </row>
    <row r="1318">
      <c r="A1318" t="n">
        <v>1</v>
      </c>
      <c r="B1318" s="29" t="inlineStr">
        <is>
          <t>S09</t>
        </is>
      </c>
      <c r="C1318" t="inlineStr">
        <is>
          <t>PZ-D</t>
        </is>
      </c>
      <c r="D1318" t="n">
        <v>9</v>
      </c>
      <c r="E1318" t="inlineStr">
        <is>
          <t>F0048</t>
        </is>
      </c>
      <c r="F1318" t="inlineStr">
        <is>
          <t>新北市三峽區大觀路90號旁工地</t>
        </is>
      </c>
      <c r="G1318" t="n">
        <v>24.946591</v>
      </c>
      <c r="H1318" t="n">
        <v>121.373845</v>
      </c>
      <c r="I1318" t="n">
        <v>8</v>
      </c>
      <c r="J1318" t="n">
        <v>3</v>
      </c>
      <c r="K1318" t="n">
        <v>124.7</v>
      </c>
      <c r="L1318" t="inlineStr">
        <is>
          <t>Primary</t>
        </is>
      </c>
    </row>
    <row r="1319">
      <c r="A1319" t="n">
        <v>1</v>
      </c>
      <c r="B1319" s="29" t="inlineStr">
        <is>
          <t>S09</t>
        </is>
      </c>
      <c r="C1319" t="inlineStr">
        <is>
          <t>PZ-D</t>
        </is>
      </c>
      <c r="D1319" t="n">
        <v>10</v>
      </c>
      <c r="E1319" t="inlineStr">
        <is>
          <t>F0309</t>
        </is>
      </c>
      <c r="F1319" t="inlineStr">
        <is>
          <t>新北市樹林區(三峽區)學勤路宇大成路路口</t>
        </is>
      </c>
      <c r="G1319" t="n">
        <v>24.948594</v>
      </c>
      <c r="H1319" t="n">
        <v>121.382445</v>
      </c>
      <c r="I1319" t="n">
        <v>8</v>
      </c>
      <c r="J1319" t="n">
        <v>3</v>
      </c>
      <c r="K1319" t="n">
        <v>135.7</v>
      </c>
      <c r="L1319" t="inlineStr">
        <is>
          <t>Primary</t>
        </is>
      </c>
    </row>
    <row r="1320">
      <c r="A1320" t="n">
        <v>1</v>
      </c>
      <c r="B1320" s="29" t="inlineStr">
        <is>
          <t>S09</t>
        </is>
      </c>
      <c r="C1320" t="inlineStr">
        <is>
          <t>PZ-D</t>
        </is>
      </c>
      <c r="D1320" t="n">
        <v>11</v>
      </c>
      <c r="E1320" t="inlineStr">
        <is>
          <t>F0045</t>
        </is>
      </c>
      <c r="F1320" t="inlineStr">
        <is>
          <t>新北市三峽區三樹路98巷156弄76號</t>
        </is>
      </c>
      <c r="G1320" t="n">
        <v>24.941669</v>
      </c>
      <c r="H1320" t="n">
        <v>121.38753</v>
      </c>
      <c r="I1320" t="n">
        <v>8</v>
      </c>
      <c r="J1320" t="n">
        <v>3</v>
      </c>
      <c r="K1320" t="n">
        <v>146.7</v>
      </c>
      <c r="L1320" t="inlineStr">
        <is>
          <t>Primary</t>
        </is>
      </c>
    </row>
    <row r="1321">
      <c r="A1321" t="n">
        <v>1</v>
      </c>
      <c r="B1321" s="29" t="inlineStr">
        <is>
          <t>S09</t>
        </is>
      </c>
      <c r="C1321" t="inlineStr">
        <is>
          <t>PZ-D</t>
        </is>
      </c>
      <c r="D1321" t="n">
        <v>12</v>
      </c>
      <c r="E1321" t="inlineStr">
        <is>
          <t>F0053</t>
        </is>
      </c>
      <c r="F1321" t="inlineStr">
        <is>
          <t>新北市三峽區佳福路18號旁工地</t>
        </is>
      </c>
      <c r="G1321" t="n">
        <v>24.936644</v>
      </c>
      <c r="H1321" t="n">
        <v>121.394433</v>
      </c>
      <c r="I1321" t="n">
        <v>8</v>
      </c>
      <c r="J1321" t="n">
        <v>3</v>
      </c>
      <c r="K1321" t="n">
        <v>157.7</v>
      </c>
      <c r="L1321" t="inlineStr">
        <is>
          <t>Primary</t>
        </is>
      </c>
    </row>
    <row r="1322">
      <c r="A1322" t="n">
        <v>1</v>
      </c>
      <c r="B1322" s="29" t="inlineStr">
        <is>
          <t>S09</t>
        </is>
      </c>
      <c r="C1322" t="inlineStr">
        <is>
          <t>PZ-D</t>
        </is>
      </c>
      <c r="D1322" t="n">
        <v>13</v>
      </c>
      <c r="E1322" t="inlineStr">
        <is>
          <t>F0049</t>
        </is>
      </c>
      <c r="F1322" t="inlineStr">
        <is>
          <t>新北市三峽區介壽路二段138巷169號</t>
        </is>
      </c>
      <c r="G1322" t="n">
        <v>24.930411</v>
      </c>
      <c r="H1322" t="n">
        <v>121.395836</v>
      </c>
      <c r="I1322" t="n">
        <v>16</v>
      </c>
      <c r="J1322" t="n">
        <v>3</v>
      </c>
      <c r="K1322" t="n">
        <v>176.7</v>
      </c>
      <c r="L1322" t="inlineStr">
        <is>
          <t>Primary</t>
        </is>
      </c>
    </row>
    <row r="1323">
      <c r="A1323" t="n">
        <v>1</v>
      </c>
      <c r="B1323" s="29" t="inlineStr">
        <is>
          <t>S09</t>
        </is>
      </c>
      <c r="C1323" t="inlineStr">
        <is>
          <t>PZ-D</t>
        </is>
      </c>
      <c r="D1323" t="n">
        <v>14</v>
      </c>
      <c r="E1323" t="inlineStr">
        <is>
          <t>F0051</t>
        </is>
      </c>
      <c r="F1323" t="inlineStr">
        <is>
          <t>新北市三峽區白雞路62號-三峽農場</t>
        </is>
      </c>
      <c r="G1323" t="n">
        <v>24.911903</v>
      </c>
      <c r="H1323" t="n">
        <v>121.386522</v>
      </c>
      <c r="I1323" t="n">
        <v>8</v>
      </c>
      <c r="J1323" t="n">
        <v>5.4</v>
      </c>
      <c r="K1323" t="n">
        <v>190.1</v>
      </c>
      <c r="L1323" t="inlineStr">
        <is>
          <t>Primary</t>
        </is>
      </c>
    </row>
    <row r="1324">
      <c r="A1324" t="n">
        <v>1</v>
      </c>
      <c r="B1324" s="29" t="inlineStr">
        <is>
          <t>S09</t>
        </is>
      </c>
      <c r="C1324" t="inlineStr">
        <is>
          <t>PZ-D</t>
        </is>
      </c>
      <c r="D1324" t="n">
        <v>15</v>
      </c>
      <c r="E1324" t="inlineStr">
        <is>
          <t>F0061</t>
        </is>
      </c>
      <c r="F1324" t="inlineStr">
        <is>
          <t>新北市土城區中州路30巷1號-7F</t>
        </is>
      </c>
      <c r="G1324" t="n">
        <v>24.958372</v>
      </c>
      <c r="H1324" t="n">
        <v>121.413058</v>
      </c>
      <c r="I1324" t="n">
        <v>27</v>
      </c>
      <c r="J1324" t="n">
        <v>14</v>
      </c>
      <c r="K1324" t="n">
        <v>231.1</v>
      </c>
      <c r="L1324" t="inlineStr">
        <is>
          <t>Primary</t>
        </is>
      </c>
    </row>
    <row r="1325">
      <c r="A1325" t="n">
        <v>1</v>
      </c>
      <c r="B1325" s="29" t="inlineStr">
        <is>
          <t>S09</t>
        </is>
      </c>
      <c r="C1325" t="inlineStr">
        <is>
          <t>PZ-D</t>
        </is>
      </c>
      <c r="D1325" t="n">
        <v>16</v>
      </c>
      <c r="E1325" t="inlineStr">
        <is>
          <t>F0060</t>
        </is>
      </c>
      <c r="F1325" t="inlineStr">
        <is>
          <t>新北市土城區中州路30巷1號</t>
        </is>
      </c>
      <c r="G1325" t="n">
        <v>24.958622</v>
      </c>
      <c r="H1325" t="n">
        <v>121.4129485</v>
      </c>
      <c r="I1325" t="n">
        <v>16</v>
      </c>
      <c r="J1325" t="n">
        <v>2</v>
      </c>
      <c r="K1325" t="n">
        <v>249.1</v>
      </c>
      <c r="L1325" t="inlineStr">
        <is>
          <t>Primary</t>
        </is>
      </c>
    </row>
    <row r="1326">
      <c r="A1326" t="n">
        <v>1</v>
      </c>
      <c r="B1326" s="29" t="inlineStr">
        <is>
          <t>S09</t>
        </is>
      </c>
      <c r="C1326" t="inlineStr">
        <is>
          <t>PZ-D</t>
        </is>
      </c>
      <c r="D1326" t="n">
        <v>17</v>
      </c>
      <c r="E1326" t="inlineStr">
        <is>
          <t>F0091</t>
        </is>
      </c>
      <c r="F1326" t="inlineStr">
        <is>
          <t>新北市土城區福安街70巷底</t>
        </is>
      </c>
      <c r="G1326" t="n">
        <v>24.965139</v>
      </c>
      <c r="H1326" t="n">
        <v>121.417959</v>
      </c>
      <c r="I1326" t="n">
        <v>8</v>
      </c>
      <c r="J1326" t="n">
        <v>3</v>
      </c>
      <c r="K1326" t="n">
        <v>260.1</v>
      </c>
      <c r="L1326" t="inlineStr">
        <is>
          <t>Primary</t>
        </is>
      </c>
    </row>
    <row r="1327">
      <c r="A1327" t="n">
        <v>1</v>
      </c>
      <c r="B1327" s="29" t="inlineStr">
        <is>
          <t>S09</t>
        </is>
      </c>
      <c r="C1327" t="inlineStr">
        <is>
          <t>PZ-D</t>
        </is>
      </c>
      <c r="D1327" t="n">
        <v>18</v>
      </c>
      <c r="E1327" t="inlineStr">
        <is>
          <t>F0313</t>
        </is>
      </c>
      <c r="F1327" t="inlineStr">
        <is>
          <t>新北市樹林區八德街224-1號-前2小時電聯</t>
        </is>
      </c>
      <c r="G1327" t="n">
        <v>24.972078</v>
      </c>
      <c r="H1327" t="n">
        <v>121.415339</v>
      </c>
      <c r="I1327" t="n">
        <v>8</v>
      </c>
      <c r="J1327" t="n">
        <v>3</v>
      </c>
      <c r="K1327" t="n">
        <v>271.1</v>
      </c>
      <c r="L1327" t="inlineStr">
        <is>
          <t>Primary</t>
        </is>
      </c>
    </row>
    <row r="1328">
      <c r="A1328" t="n">
        <v>1</v>
      </c>
      <c r="B1328" s="29" t="inlineStr">
        <is>
          <t>S09</t>
        </is>
      </c>
      <c r="C1328" t="inlineStr">
        <is>
          <t>PZ-D</t>
        </is>
      </c>
      <c r="D1328" t="n">
        <v>19</v>
      </c>
      <c r="E1328" t="inlineStr">
        <is>
          <t>F0316</t>
        </is>
      </c>
      <c r="F1328" t="inlineStr">
        <is>
          <t>新北市樹林區水源街220號（浮洲加壓站）</t>
        </is>
      </c>
      <c r="G1328" t="n">
        <v>24.978695</v>
      </c>
      <c r="H1328" t="n">
        <v>121.426328</v>
      </c>
      <c r="I1328" t="n">
        <v>8</v>
      </c>
      <c r="J1328" t="n">
        <v>3.2</v>
      </c>
      <c r="K1328" t="n">
        <v>282.3</v>
      </c>
      <c r="L1328" t="inlineStr">
        <is>
          <t>Primary</t>
        </is>
      </c>
    </row>
    <row r="1329">
      <c r="A1329" t="n">
        <v>1</v>
      </c>
      <c r="B1329" s="29" t="inlineStr">
        <is>
          <t>S09</t>
        </is>
      </c>
      <c r="C1329" t="inlineStr">
        <is>
          <t>PZ-D</t>
        </is>
      </c>
      <c r="D1329" t="n">
        <v>20</v>
      </c>
      <c r="E1329" t="inlineStr">
        <is>
          <t>F0058</t>
        </is>
      </c>
      <c r="F1329" t="inlineStr">
        <is>
          <t>新北市土城區中山路91號</t>
        </is>
      </c>
      <c r="G1329" t="n">
        <v>24.969948</v>
      </c>
      <c r="H1329" t="n">
        <v>121.432017</v>
      </c>
      <c r="I1329" t="n">
        <v>16</v>
      </c>
      <c r="J1329" t="n">
        <v>3</v>
      </c>
      <c r="K1329" t="n">
        <v>301.3</v>
      </c>
      <c r="L1329" t="inlineStr">
        <is>
          <t>Primary</t>
        </is>
      </c>
    </row>
    <row r="1330">
      <c r="A1330" t="n">
        <v>1</v>
      </c>
      <c r="B1330" s="29" t="inlineStr">
        <is>
          <t>S09</t>
        </is>
      </c>
      <c r="C1330" t="inlineStr">
        <is>
          <t>PZ-D</t>
        </is>
      </c>
      <c r="D1330" t="n">
        <v>21</v>
      </c>
      <c r="E1330" t="inlineStr">
        <is>
          <t>F0068</t>
        </is>
      </c>
      <c r="F1330" t="inlineStr">
        <is>
          <t>新北市土城區承天路16號-9F</t>
        </is>
      </c>
      <c r="G1330" t="n">
        <v>24.964739</v>
      </c>
      <c r="H1330" t="n">
        <v>121.438469</v>
      </c>
      <c r="I1330" t="n">
        <v>19.5</v>
      </c>
      <c r="J1330" t="n">
        <v>3</v>
      </c>
      <c r="K1330" t="n">
        <v>323.8</v>
      </c>
      <c r="L1330" t="inlineStr">
        <is>
          <t>Primary</t>
        </is>
      </c>
    </row>
    <row r="1331">
      <c r="A1331" t="n">
        <v>1</v>
      </c>
      <c r="B1331" s="29" t="inlineStr">
        <is>
          <t>S09</t>
        </is>
      </c>
      <c r="C1331" t="inlineStr">
        <is>
          <t>PZ-D</t>
        </is>
      </c>
      <c r="D1331" t="n">
        <v>22</v>
      </c>
      <c r="E1331" t="inlineStr">
        <is>
          <t>F0065</t>
        </is>
      </c>
      <c r="F1331" t="inlineStr">
        <is>
          <t>新北市土城區承天路16號</t>
        </is>
      </c>
      <c r="G1331" t="n">
        <v>24.9639028</v>
      </c>
      <c r="H1331" t="n">
        <v>121.4383868</v>
      </c>
      <c r="I1331" t="n">
        <v>17</v>
      </c>
      <c r="J1331" t="n">
        <v>2</v>
      </c>
      <c r="K1331" t="n">
        <v>342.8</v>
      </c>
      <c r="L1331" t="inlineStr">
        <is>
          <t>Primary</t>
        </is>
      </c>
    </row>
    <row r="1332">
      <c r="A1332" t="n">
        <v>1</v>
      </c>
      <c r="B1332" s="29" t="inlineStr">
        <is>
          <t>S09</t>
        </is>
      </c>
      <c r="C1332" t="inlineStr">
        <is>
          <t>PZ-D</t>
        </is>
      </c>
      <c r="D1332" t="n">
        <v>23</v>
      </c>
      <c r="E1332" t="inlineStr">
        <is>
          <t>F0065</t>
        </is>
      </c>
      <c r="F1332" t="inlineStr">
        <is>
          <t>新北市土城區承天路16號</t>
        </is>
      </c>
      <c r="G1332" t="n">
        <v>24.9637312</v>
      </c>
      <c r="H1332" t="n">
        <v>121.4383902</v>
      </c>
      <c r="I1332" t="n">
        <v>76</v>
      </c>
      <c r="J1332" t="n">
        <v>2</v>
      </c>
      <c r="K1332" t="n">
        <v>420.8</v>
      </c>
      <c r="L1332" t="inlineStr">
        <is>
          <t>Primary</t>
        </is>
      </c>
    </row>
    <row r="1333">
      <c r="A1333" t="n">
        <v>1</v>
      </c>
      <c r="B1333" s="29" t="inlineStr">
        <is>
          <t>S09</t>
        </is>
      </c>
      <c r="C1333" t="inlineStr">
        <is>
          <t>PZ-D</t>
        </is>
      </c>
      <c r="D1333" t="n">
        <v>24</v>
      </c>
      <c r="E1333" t="inlineStr">
        <is>
          <t>F0066</t>
        </is>
      </c>
      <c r="F1333" t="inlineStr">
        <is>
          <t>新北市土城區承天路16號(旭?)</t>
        </is>
      </c>
      <c r="G1333" t="n">
        <v>24.963544</v>
      </c>
      <c r="H1333" t="n">
        <v>121.438358</v>
      </c>
      <c r="I1333" t="n">
        <v>16</v>
      </c>
      <c r="J1333" t="n">
        <v>2</v>
      </c>
      <c r="K1333" t="n">
        <v>438.8</v>
      </c>
      <c r="L1333" t="inlineStr">
        <is>
          <t>Primary</t>
        </is>
      </c>
    </row>
    <row r="1334">
      <c r="A1334" t="n">
        <v>1</v>
      </c>
      <c r="B1334" s="29" t="inlineStr">
        <is>
          <t>S09</t>
        </is>
      </c>
      <c r="C1334" t="inlineStr">
        <is>
          <t>PZ-D</t>
        </is>
      </c>
      <c r="D1334" t="n">
        <v>25</v>
      </c>
      <c r="E1334" t="inlineStr">
        <is>
          <t>F0067</t>
        </is>
      </c>
      <c r="F1334" t="inlineStr">
        <is>
          <t>新北市土城區承天路16號-13F</t>
        </is>
      </c>
      <c r="G1334" t="n">
        <v>24.963572</v>
      </c>
      <c r="H1334" t="n">
        <v>121.437597</v>
      </c>
      <c r="I1334" t="n">
        <v>22</v>
      </c>
      <c r="J1334" t="n">
        <v>2</v>
      </c>
      <c r="K1334" t="n">
        <v>462.8</v>
      </c>
      <c r="L1334" t="inlineStr">
        <is>
          <t>Primary</t>
        </is>
      </c>
    </row>
    <row r="1335">
      <c r="A1335" t="n">
        <v>1</v>
      </c>
      <c r="B1335" s="29" t="inlineStr">
        <is>
          <t>S09</t>
        </is>
      </c>
      <c r="C1335" t="inlineStr">
        <is>
          <t>PZ-D</t>
        </is>
      </c>
      <c r="D1335" t="n">
        <v>26</v>
      </c>
      <c r="E1335" t="inlineStr">
        <is>
          <t>F0069</t>
        </is>
      </c>
      <c r="F1335" t="inlineStr">
        <is>
          <t>新北市土城區承天路62巷8號</t>
        </is>
      </c>
      <c r="G1335" t="n">
        <v>24.961819</v>
      </c>
      <c r="H1335" t="n">
        <v>121.440819</v>
      </c>
      <c r="I1335" t="n">
        <v>8</v>
      </c>
      <c r="J1335" t="n">
        <v>3</v>
      </c>
      <c r="K1335" t="n">
        <v>473.8</v>
      </c>
      <c r="L1335" t="inlineStr">
        <is>
          <t>Primary</t>
        </is>
      </c>
    </row>
    <row r="1336">
      <c r="A1336" t="n">
        <v>1</v>
      </c>
      <c r="B1336" s="29" t="inlineStr">
        <is>
          <t>S09</t>
        </is>
      </c>
      <c r="C1336" t="inlineStr">
        <is>
          <t>PZ-D</t>
        </is>
      </c>
      <c r="D1336" t="n">
        <v>27</v>
      </c>
      <c r="E1336" t="inlineStr">
        <is>
          <t>F0070</t>
        </is>
      </c>
      <c r="F1336" t="inlineStr">
        <is>
          <t>新北市土城區承天路66號對面</t>
        </is>
      </c>
      <c r="G1336" t="n">
        <v>24.962483</v>
      </c>
      <c r="H1336" t="n">
        <v>121.441539</v>
      </c>
      <c r="I1336" t="n">
        <v>8</v>
      </c>
      <c r="J1336" t="n">
        <v>3</v>
      </c>
      <c r="K1336" t="n">
        <v>484.8</v>
      </c>
      <c r="L1336" t="inlineStr">
        <is>
          <t>Primary</t>
        </is>
      </c>
    </row>
    <row r="1337">
      <c r="A1337" t="n">
        <v>1</v>
      </c>
      <c r="B1337" s="29" t="inlineStr">
        <is>
          <t>S09</t>
        </is>
      </c>
      <c r="C1337" t="inlineStr">
        <is>
          <t>PZ-D</t>
        </is>
      </c>
      <c r="D1337" t="n">
        <v>28</v>
      </c>
      <c r="E1337" t="inlineStr">
        <is>
          <t>F0064</t>
        </is>
      </c>
      <c r="F1337" t="inlineStr">
        <is>
          <t>新北市土城區忠義路88號對面</t>
        </is>
      </c>
      <c r="G1337" t="n">
        <v>24.962192</v>
      </c>
      <c r="H1337" t="n">
        <v>121.444072</v>
      </c>
      <c r="I1337" t="n">
        <v>8</v>
      </c>
      <c r="J1337" t="n">
        <v>3</v>
      </c>
      <c r="K1337" t="n">
        <v>495.8</v>
      </c>
      <c r="L1337" t="inlineStr">
        <is>
          <t>Primary</t>
        </is>
      </c>
    </row>
    <row r="1338">
      <c r="A1338" t="n">
        <v>1</v>
      </c>
      <c r="B1338" s="29" t="inlineStr">
        <is>
          <t>S09</t>
        </is>
      </c>
      <c r="C1338" t="inlineStr">
        <is>
          <t>PZ-D</t>
        </is>
      </c>
      <c r="D1338" t="n">
        <v>29</v>
      </c>
      <c r="E1338" t="inlineStr">
        <is>
          <t>F0088</t>
        </is>
      </c>
      <c r="F1338" t="inlineStr">
        <is>
          <t>新北市土城區南天母路67號對面工地</t>
        </is>
      </c>
      <c r="G1338" t="n">
        <v>24.957111</v>
      </c>
      <c r="H1338" t="n">
        <v>121.446219</v>
      </c>
      <c r="I1338" t="n">
        <v>8</v>
      </c>
      <c r="J1338" t="n">
        <v>3</v>
      </c>
      <c r="K1338" t="n">
        <v>506.8</v>
      </c>
      <c r="L1338" t="inlineStr">
        <is>
          <t>Primary</t>
        </is>
      </c>
    </row>
    <row r="1339">
      <c r="A1339" t="n">
        <v>1</v>
      </c>
      <c r="B1339" s="29" t="inlineStr">
        <is>
          <t>S09</t>
        </is>
      </c>
      <c r="C1339" t="inlineStr">
        <is>
          <t>PZ-D</t>
        </is>
      </c>
      <c r="D1339" t="n">
        <v>30</v>
      </c>
      <c r="E1339" t="inlineStr">
        <is>
          <t>F0062</t>
        </is>
      </c>
      <c r="F1339" t="inlineStr">
        <is>
          <t>新北市土城區永和街85號附近40公尺圍籬</t>
        </is>
      </c>
      <c r="G1339" t="n">
        <v>24.955414</v>
      </c>
      <c r="H1339" t="n">
        <v>121.435966</v>
      </c>
      <c r="I1339" t="n">
        <v>8</v>
      </c>
      <c r="J1339" t="n">
        <v>3</v>
      </c>
      <c r="K1339" t="n">
        <v>517.8</v>
      </c>
      <c r="L1339" t="inlineStr">
        <is>
          <t>Primary</t>
        </is>
      </c>
    </row>
    <row r="1340">
      <c r="A1340" t="n">
        <v>2</v>
      </c>
      <c r="B1340" s="29" t="inlineStr">
        <is>
          <t>S09</t>
        </is>
      </c>
      <c r="C1340" t="inlineStr">
        <is>
          <t>PZ-D</t>
        </is>
      </c>
      <c r="D1340" t="n">
        <v>1</v>
      </c>
      <c r="E1340" t="inlineStr">
        <is>
          <t>F0199</t>
        </is>
      </c>
      <c r="F1340" t="inlineStr">
        <is>
          <t>新北市林口區文化北路一段60巷39號對面</t>
        </is>
      </c>
      <c r="G1340" t="n">
        <v>25.067809</v>
      </c>
      <c r="H1340" t="n">
        <v>121.357325</v>
      </c>
      <c r="I1340" t="n">
        <v>8</v>
      </c>
      <c r="J1340" t="n">
        <v>22.2</v>
      </c>
      <c r="K1340" t="n">
        <v>30.2</v>
      </c>
      <c r="L1340" t="inlineStr">
        <is>
          <t>Primary</t>
        </is>
      </c>
    </row>
    <row r="1341">
      <c r="A1341" t="n">
        <v>2</v>
      </c>
      <c r="B1341" s="29" t="inlineStr">
        <is>
          <t>S09</t>
        </is>
      </c>
      <c r="C1341" t="inlineStr">
        <is>
          <t>PZ-D</t>
        </is>
      </c>
      <c r="D1341" t="n">
        <v>2</v>
      </c>
      <c r="E1341" t="inlineStr">
        <is>
          <t>F0189</t>
        </is>
      </c>
      <c r="F1341" t="inlineStr">
        <is>
          <t>新北市林口區文化二路１段8號郵局對面</t>
        </is>
      </c>
      <c r="G1341" t="n">
        <v>25.066622</v>
      </c>
      <c r="H1341" t="n">
        <v>121.363878</v>
      </c>
      <c r="I1341" t="n">
        <v>40</v>
      </c>
      <c r="J1341" t="n">
        <v>3</v>
      </c>
      <c r="K1341" t="n">
        <v>73.2</v>
      </c>
      <c r="L1341" t="inlineStr">
        <is>
          <t>Primary</t>
        </is>
      </c>
    </row>
    <row r="1342">
      <c r="A1342" t="n">
        <v>2</v>
      </c>
      <c r="B1342" s="29" t="inlineStr">
        <is>
          <t>S09</t>
        </is>
      </c>
      <c r="C1342" t="inlineStr">
        <is>
          <t>PZ-D</t>
        </is>
      </c>
      <c r="D1342" t="n">
        <v>3</v>
      </c>
      <c r="E1342" t="inlineStr">
        <is>
          <t>F0210</t>
        </is>
      </c>
      <c r="F1342" t="inlineStr">
        <is>
          <t>新北市林口區忠孝路256巷13號附近工地</t>
        </is>
      </c>
      <c r="G1342" t="n">
        <v>25.0740255</v>
      </c>
      <c r="H1342" t="n">
        <v>121.3654085</v>
      </c>
      <c r="I1342" t="n">
        <v>32</v>
      </c>
      <c r="J1342" t="n">
        <v>3</v>
      </c>
      <c r="K1342" t="n">
        <v>108.2</v>
      </c>
      <c r="L1342" t="inlineStr">
        <is>
          <t>Primary</t>
        </is>
      </c>
    </row>
    <row r="1343">
      <c r="A1343" t="n">
        <v>2</v>
      </c>
      <c r="B1343" s="29" t="inlineStr">
        <is>
          <t>S09</t>
        </is>
      </c>
      <c r="C1343" t="inlineStr">
        <is>
          <t>PZ-D</t>
        </is>
      </c>
      <c r="D1343" t="n">
        <v>4</v>
      </c>
      <c r="E1343" t="inlineStr">
        <is>
          <t>F0219</t>
        </is>
      </c>
      <c r="F1343" t="inlineStr">
        <is>
          <t>新北市林口區南勢一街47巷1號</t>
        </is>
      </c>
      <c r="G1343" t="n">
        <v>25.07645133333333</v>
      </c>
      <c r="H1343" t="n">
        <v>121.361391</v>
      </c>
      <c r="I1343" t="n">
        <v>24</v>
      </c>
      <c r="J1343" t="n">
        <v>3</v>
      </c>
      <c r="K1343" t="n">
        <v>135.2</v>
      </c>
      <c r="L1343" t="inlineStr">
        <is>
          <t>Primary</t>
        </is>
      </c>
    </row>
    <row r="1344">
      <c r="A1344" t="n">
        <v>2</v>
      </c>
      <c r="B1344" s="29" t="inlineStr">
        <is>
          <t>S09</t>
        </is>
      </c>
      <c r="C1344" t="inlineStr">
        <is>
          <t>PZ-D</t>
        </is>
      </c>
      <c r="D1344" t="n">
        <v>5</v>
      </c>
      <c r="E1344" t="inlineStr">
        <is>
          <t>F0196</t>
        </is>
      </c>
      <c r="F1344" t="inlineStr">
        <is>
          <t>新北市林口區文化三路二段41巷</t>
        </is>
      </c>
      <c r="G1344" t="n">
        <v>25.079636</v>
      </c>
      <c r="H1344" t="n">
        <v>121.372778</v>
      </c>
      <c r="I1344" t="n">
        <v>16</v>
      </c>
      <c r="J1344" t="n">
        <v>3</v>
      </c>
      <c r="K1344" t="n">
        <v>154.2</v>
      </c>
      <c r="L1344" t="inlineStr">
        <is>
          <t>Primary</t>
        </is>
      </c>
    </row>
    <row r="1345">
      <c r="A1345" t="n">
        <v>2</v>
      </c>
      <c r="B1345" s="29" t="inlineStr">
        <is>
          <t>S09</t>
        </is>
      </c>
      <c r="C1345" t="inlineStr">
        <is>
          <t>PZ-D</t>
        </is>
      </c>
      <c r="D1345" t="n">
        <v>6</v>
      </c>
      <c r="E1345" t="inlineStr">
        <is>
          <t>F0218</t>
        </is>
      </c>
      <c r="F1345" t="inlineStr">
        <is>
          <t>新北市林口區信義路289號(接待中心旁邊工地)</t>
        </is>
      </c>
      <c r="G1345" t="n">
        <v>25.08162</v>
      </c>
      <c r="H1345" t="n">
        <v>121.375314</v>
      </c>
      <c r="I1345" t="n">
        <v>8</v>
      </c>
      <c r="J1345" t="n">
        <v>3</v>
      </c>
      <c r="K1345" t="n">
        <v>165.2</v>
      </c>
      <c r="L1345" t="inlineStr">
        <is>
          <t>Primary</t>
        </is>
      </c>
    </row>
    <row r="1346">
      <c r="A1346" t="n">
        <v>2</v>
      </c>
      <c r="B1346" s="29" t="inlineStr">
        <is>
          <t>S09</t>
        </is>
      </c>
      <c r="C1346" t="inlineStr">
        <is>
          <t>PZ-D</t>
        </is>
      </c>
      <c r="D1346" t="n">
        <v>7</v>
      </c>
      <c r="E1346" t="inlineStr">
        <is>
          <t>F0200</t>
        </is>
      </c>
      <c r="F1346" t="inlineStr">
        <is>
          <t>新北市林口區文化北路二段166巷底</t>
        </is>
      </c>
      <c r="G1346" t="n">
        <v>25.083347</v>
      </c>
      <c r="H1346" t="n">
        <v>121.372895</v>
      </c>
      <c r="I1346" t="n">
        <v>16</v>
      </c>
      <c r="J1346" t="n">
        <v>3</v>
      </c>
      <c r="K1346" t="n">
        <v>184.2</v>
      </c>
      <c r="L1346" t="inlineStr">
        <is>
          <t>Primary</t>
        </is>
      </c>
    </row>
    <row r="1347">
      <c r="A1347" t="n">
        <v>2</v>
      </c>
      <c r="B1347" s="29" t="inlineStr">
        <is>
          <t>S09</t>
        </is>
      </c>
      <c r="C1347" t="inlineStr">
        <is>
          <t>PZ-D</t>
        </is>
      </c>
      <c r="D1347" t="n">
        <v>8</v>
      </c>
      <c r="E1347" t="inlineStr">
        <is>
          <t>F0221</t>
        </is>
      </c>
      <c r="F1347" t="inlineStr">
        <is>
          <t>新北市林口區湖南里-林口工一工業區</t>
        </is>
      </c>
      <c r="G1347" t="n">
        <v>25.085119</v>
      </c>
      <c r="H1347" t="n">
        <v>121.370306</v>
      </c>
      <c r="I1347" t="n">
        <v>8</v>
      </c>
      <c r="J1347" t="n">
        <v>3</v>
      </c>
      <c r="K1347" t="n">
        <v>195.2</v>
      </c>
      <c r="L1347" t="inlineStr">
        <is>
          <t>Primary</t>
        </is>
      </c>
    </row>
    <row r="1348">
      <c r="A1348" t="n">
        <v>2</v>
      </c>
      <c r="B1348" s="29" t="inlineStr">
        <is>
          <t>S09</t>
        </is>
      </c>
      <c r="C1348" t="inlineStr">
        <is>
          <t>PZ-D</t>
        </is>
      </c>
      <c r="D1348" t="n">
        <v>9</v>
      </c>
      <c r="E1348" t="inlineStr">
        <is>
          <t>F0226</t>
        </is>
      </c>
      <c r="F1348" t="inlineStr">
        <is>
          <t>新北市林口區頭湖二路  湖內公園對面</t>
        </is>
      </c>
      <c r="G1348" t="n">
        <v>25.087202</v>
      </c>
      <c r="H1348" t="n">
        <v>121.368442</v>
      </c>
      <c r="I1348" t="n">
        <v>8</v>
      </c>
      <c r="J1348" t="n">
        <v>3</v>
      </c>
      <c r="K1348" t="n">
        <v>206.2</v>
      </c>
      <c r="L1348" t="inlineStr">
        <is>
          <t>Primary</t>
        </is>
      </c>
    </row>
    <row r="1349">
      <c r="A1349" t="n">
        <v>2</v>
      </c>
      <c r="B1349" s="29" t="inlineStr">
        <is>
          <t>S09</t>
        </is>
      </c>
      <c r="C1349" t="inlineStr">
        <is>
          <t>PZ-D</t>
        </is>
      </c>
      <c r="D1349" t="n">
        <v>10</v>
      </c>
      <c r="E1349" t="inlineStr">
        <is>
          <t>F0202</t>
        </is>
      </c>
      <c r="F1349" t="inlineStr">
        <is>
          <t>新北市林口區文化北路二段550巷19弄-492建案</t>
        </is>
      </c>
      <c r="G1349" t="n">
        <v>25.092486</v>
      </c>
      <c r="H1349" t="n">
        <v>121.379511</v>
      </c>
      <c r="I1349" t="n">
        <v>16</v>
      </c>
      <c r="J1349" t="n">
        <v>3</v>
      </c>
      <c r="K1349" t="n">
        <v>225.2</v>
      </c>
      <c r="L1349" t="inlineStr">
        <is>
          <t>Primary</t>
        </is>
      </c>
    </row>
    <row r="1350">
      <c r="A1350" t="n">
        <v>2</v>
      </c>
      <c r="B1350" s="29" t="inlineStr">
        <is>
          <t>S09</t>
        </is>
      </c>
      <c r="C1350" t="inlineStr">
        <is>
          <t>PZ-D</t>
        </is>
      </c>
      <c r="D1350" t="n">
        <v>11</v>
      </c>
      <c r="E1350" t="inlineStr">
        <is>
          <t>F0191</t>
        </is>
      </c>
      <c r="F1350" t="inlineStr">
        <is>
          <t>新北市林口區文化二路２段490號旁工地-追加</t>
        </is>
      </c>
      <c r="G1350" t="n">
        <v>25.088755</v>
      </c>
      <c r="H1350" t="n">
        <v>121.382878</v>
      </c>
      <c r="I1350" t="n">
        <v>8</v>
      </c>
      <c r="J1350" t="n">
        <v>3</v>
      </c>
      <c r="K1350" t="n">
        <v>236.2</v>
      </c>
      <c r="L1350" t="inlineStr">
        <is>
          <t>Primary</t>
        </is>
      </c>
    </row>
    <row r="1351">
      <c r="A1351" t="n">
        <v>2</v>
      </c>
      <c r="B1351" s="29" t="inlineStr">
        <is>
          <t>S09</t>
        </is>
      </c>
      <c r="C1351" t="inlineStr">
        <is>
          <t>PZ-D</t>
        </is>
      </c>
      <c r="D1351" t="n">
        <v>12</v>
      </c>
      <c r="E1351" t="inlineStr">
        <is>
          <t>F0216</t>
        </is>
      </c>
      <c r="F1351" t="inlineStr">
        <is>
          <t>新北市林口區林口路158號</t>
        </is>
      </c>
      <c r="G1351" t="n">
        <v>25.082206</v>
      </c>
      <c r="H1351" t="n">
        <v>121.38798</v>
      </c>
      <c r="I1351" t="n">
        <v>8</v>
      </c>
      <c r="J1351" t="n">
        <v>3</v>
      </c>
      <c r="K1351" t="n">
        <v>247.2</v>
      </c>
      <c r="L1351" t="inlineStr">
        <is>
          <t>Primary</t>
        </is>
      </c>
    </row>
    <row r="1352">
      <c r="A1352" t="n">
        <v>2</v>
      </c>
      <c r="B1352" s="29" t="inlineStr">
        <is>
          <t>S09</t>
        </is>
      </c>
      <c r="C1352" t="inlineStr">
        <is>
          <t>PZ-D</t>
        </is>
      </c>
      <c r="D1352" t="n">
        <v>13</v>
      </c>
      <c r="E1352" t="inlineStr">
        <is>
          <t>F0171</t>
        </is>
      </c>
      <c r="F1352" t="inlineStr">
        <is>
          <t>新北市林口區中山路151號旁</t>
        </is>
      </c>
      <c r="G1352" t="n">
        <v>25.079184</v>
      </c>
      <c r="H1352" t="n">
        <v>121.387055</v>
      </c>
      <c r="I1352" t="n">
        <v>8</v>
      </c>
      <c r="J1352" t="n">
        <v>3</v>
      </c>
      <c r="K1352" t="n">
        <v>258.2</v>
      </c>
      <c r="L1352" t="inlineStr">
        <is>
          <t>Primary</t>
        </is>
      </c>
    </row>
    <row r="1353">
      <c r="A1353" t="n">
        <v>2</v>
      </c>
      <c r="B1353" s="29" t="inlineStr">
        <is>
          <t>S09</t>
        </is>
      </c>
      <c r="C1353" t="inlineStr">
        <is>
          <t>PZ-D</t>
        </is>
      </c>
      <c r="D1353" t="n">
        <v>14</v>
      </c>
      <c r="E1353" t="inlineStr">
        <is>
          <t>F0173</t>
        </is>
      </c>
      <c r="F1353" t="inlineStr">
        <is>
          <t>新北市林口區中正路396號</t>
        </is>
      </c>
      <c r="G1353" t="n">
        <v>25.077728</v>
      </c>
      <c r="H1353" t="n">
        <v>121.385136</v>
      </c>
      <c r="I1353" t="n">
        <v>8</v>
      </c>
      <c r="J1353" t="n">
        <v>3</v>
      </c>
      <c r="K1353" t="n">
        <v>269.2</v>
      </c>
      <c r="L1353" t="inlineStr">
        <is>
          <t>Primary</t>
        </is>
      </c>
    </row>
    <row r="1354">
      <c r="A1354" t="n">
        <v>2</v>
      </c>
      <c r="B1354" s="29" t="inlineStr">
        <is>
          <t>S09</t>
        </is>
      </c>
      <c r="C1354" t="inlineStr">
        <is>
          <t>PZ-D</t>
        </is>
      </c>
      <c r="D1354" t="n">
        <v>15</v>
      </c>
      <c r="E1354" t="inlineStr">
        <is>
          <t>F0214</t>
        </is>
      </c>
      <c r="F1354" t="inlineStr">
        <is>
          <t>新北市林口區東湖路153巷13號旁</t>
        </is>
      </c>
      <c r="G1354" t="n">
        <v>25.072373</v>
      </c>
      <c r="H1354" t="n">
        <v>121.382539</v>
      </c>
      <c r="I1354" t="n">
        <v>8</v>
      </c>
      <c r="J1354" t="n">
        <v>3</v>
      </c>
      <c r="K1354" t="n">
        <v>280.2</v>
      </c>
      <c r="L1354" t="inlineStr">
        <is>
          <t>Primary</t>
        </is>
      </c>
    </row>
    <row r="1355">
      <c r="A1355" t="n">
        <v>2</v>
      </c>
      <c r="B1355" s="29" t="inlineStr">
        <is>
          <t>S09</t>
        </is>
      </c>
      <c r="C1355" t="inlineStr">
        <is>
          <t>PZ-D</t>
        </is>
      </c>
      <c r="D1355" t="n">
        <v>16</v>
      </c>
      <c r="E1355" t="inlineStr">
        <is>
          <t>F0215</t>
        </is>
      </c>
      <c r="F1355" t="inlineStr">
        <is>
          <t>新北市林口區東湖路75巷50號旁</t>
        </is>
      </c>
      <c r="G1355" t="n">
        <v>25.071886</v>
      </c>
      <c r="H1355" t="n">
        <v>121.385491</v>
      </c>
      <c r="I1355" t="n">
        <v>8</v>
      </c>
      <c r="J1355" t="n">
        <v>3</v>
      </c>
      <c r="K1355" t="n">
        <v>291.2</v>
      </c>
      <c r="L1355" t="inlineStr">
        <is>
          <t>Primary</t>
        </is>
      </c>
    </row>
    <row r="1356">
      <c r="A1356" t="n">
        <v>2</v>
      </c>
      <c r="B1356" s="29" t="inlineStr">
        <is>
          <t>S09</t>
        </is>
      </c>
      <c r="C1356" t="inlineStr">
        <is>
          <t>PZ-D</t>
        </is>
      </c>
      <c r="D1356" t="n">
        <v>17</v>
      </c>
      <c r="E1356" t="inlineStr">
        <is>
          <t>F0212</t>
        </is>
      </c>
      <c r="F1356" t="inlineStr">
        <is>
          <t>新北市林口區東明一街15號</t>
        </is>
      </c>
      <c r="G1356" t="n">
        <v>25.071642</v>
      </c>
      <c r="H1356" t="n">
        <v>121.393644</v>
      </c>
      <c r="I1356" t="n">
        <v>8</v>
      </c>
      <c r="J1356" t="n">
        <v>3</v>
      </c>
      <c r="K1356" t="n">
        <v>302.2</v>
      </c>
      <c r="L1356" t="inlineStr">
        <is>
          <t>Primary</t>
        </is>
      </c>
    </row>
    <row r="1357">
      <c r="A1357" t="n">
        <v>2</v>
      </c>
      <c r="B1357" s="29" t="inlineStr">
        <is>
          <t>S09</t>
        </is>
      </c>
      <c r="C1357" t="inlineStr">
        <is>
          <t>PZ-D</t>
        </is>
      </c>
      <c r="D1357" t="n">
        <v>18</v>
      </c>
      <c r="E1357" t="inlineStr">
        <is>
          <t>F0184</t>
        </is>
      </c>
      <c r="F1357" t="inlineStr">
        <is>
          <t>新北市林口區仁愛路一段61巷17號旁邊的旁邊-吳賜恩</t>
        </is>
      </c>
      <c r="G1357" t="n">
        <v>25.069581</v>
      </c>
      <c r="H1357" t="n">
        <v>121.397236</v>
      </c>
      <c r="I1357" t="n">
        <v>8</v>
      </c>
      <c r="J1357" t="n">
        <v>3</v>
      </c>
      <c r="K1357" t="n">
        <v>313.2</v>
      </c>
      <c r="L1357" t="inlineStr">
        <is>
          <t>Primary</t>
        </is>
      </c>
    </row>
    <row r="1358">
      <c r="A1358" t="n">
        <v>2</v>
      </c>
      <c r="B1358" s="29" t="inlineStr">
        <is>
          <t>S09</t>
        </is>
      </c>
      <c r="C1358" t="inlineStr">
        <is>
          <t>PZ-D</t>
        </is>
      </c>
      <c r="D1358" t="n">
        <v>19</v>
      </c>
      <c r="E1358" t="inlineStr">
        <is>
          <t>F0182</t>
        </is>
      </c>
      <c r="F1358" t="inlineStr">
        <is>
          <t>新北市林口區仁愛路一段61巷13號對面</t>
        </is>
      </c>
      <c r="G1358" t="n">
        <v>25.069706</v>
      </c>
      <c r="H1358" t="n">
        <v>121.398222</v>
      </c>
      <c r="I1358" t="n">
        <v>8</v>
      </c>
      <c r="J1358" t="n">
        <v>3</v>
      </c>
      <c r="K1358" t="n">
        <v>324.2</v>
      </c>
      <c r="L1358" t="inlineStr">
        <is>
          <t>Primary</t>
        </is>
      </c>
    </row>
    <row r="1359">
      <c r="A1359" t="n">
        <v>2</v>
      </c>
      <c r="B1359" s="29" t="inlineStr">
        <is>
          <t>S09</t>
        </is>
      </c>
      <c r="C1359" t="inlineStr">
        <is>
          <t>PZ-D</t>
        </is>
      </c>
      <c r="D1359" t="n">
        <v>20</v>
      </c>
      <c r="E1359" t="inlineStr">
        <is>
          <t>F0178</t>
        </is>
      </c>
      <c r="F1359" t="inlineStr">
        <is>
          <t>新北市林口區仁愛路一段211巷口</t>
        </is>
      </c>
      <c r="G1359" t="n">
        <v>25.073711</v>
      </c>
      <c r="H1359" t="n">
        <v>121.398522</v>
      </c>
      <c r="I1359" t="n">
        <v>8</v>
      </c>
      <c r="J1359" t="n">
        <v>3</v>
      </c>
      <c r="K1359" t="n">
        <v>335.2</v>
      </c>
      <c r="L1359" t="inlineStr">
        <is>
          <t>Primary</t>
        </is>
      </c>
    </row>
    <row r="1360">
      <c r="A1360" t="n">
        <v>2</v>
      </c>
      <c r="B1360" s="29" t="inlineStr">
        <is>
          <t>S09</t>
        </is>
      </c>
      <c r="C1360" t="inlineStr">
        <is>
          <t>PZ-D</t>
        </is>
      </c>
      <c r="D1360" t="n">
        <v>21</v>
      </c>
      <c r="E1360" t="inlineStr">
        <is>
          <t>F0181</t>
        </is>
      </c>
      <c r="F1360" t="inlineStr">
        <is>
          <t>新北市林口區仁愛路一段48巷口-林口新林16案</t>
        </is>
      </c>
      <c r="G1360" t="n">
        <v>25.07657</v>
      </c>
      <c r="H1360" t="n">
        <v>121.397114</v>
      </c>
      <c r="I1360" t="n">
        <v>16</v>
      </c>
      <c r="J1360" t="n">
        <v>3</v>
      </c>
      <c r="K1360" t="n">
        <v>354.2</v>
      </c>
      <c r="L1360" t="inlineStr">
        <is>
          <t>Primary</t>
        </is>
      </c>
    </row>
    <row r="1361">
      <c r="A1361" t="n">
        <v>2</v>
      </c>
      <c r="B1361" s="29" t="inlineStr">
        <is>
          <t>S09</t>
        </is>
      </c>
      <c r="C1361" t="inlineStr">
        <is>
          <t>PZ-D</t>
        </is>
      </c>
      <c r="D1361" t="n">
        <v>22</v>
      </c>
      <c r="E1361" t="inlineStr">
        <is>
          <t>F0169</t>
        </is>
      </c>
      <c r="F1361" t="inlineStr">
        <is>
          <t>新北市林口區工六路1號-台灣伯恩氏</t>
        </is>
      </c>
      <c r="G1361" t="n">
        <v>25.079367</v>
      </c>
      <c r="H1361" t="n">
        <v>121.398094</v>
      </c>
      <c r="I1361" t="n">
        <v>8</v>
      </c>
      <c r="J1361" t="n">
        <v>3</v>
      </c>
      <c r="K1361" t="n">
        <v>365.2</v>
      </c>
      <c r="L1361" t="inlineStr">
        <is>
          <t>Primary</t>
        </is>
      </c>
    </row>
    <row r="1362">
      <c r="A1362" t="n">
        <v>2</v>
      </c>
      <c r="B1362" s="29" t="inlineStr">
        <is>
          <t>S09</t>
        </is>
      </c>
      <c r="C1362" t="inlineStr">
        <is>
          <t>PZ-D</t>
        </is>
      </c>
      <c r="D1362" t="n">
        <v>23</v>
      </c>
      <c r="E1362" t="inlineStr">
        <is>
          <t>F0314</t>
        </is>
      </c>
      <c r="F1362" t="inlineStr">
        <is>
          <t>新北市樹林區三俊街255巷1-1號</t>
        </is>
      </c>
      <c r="G1362" t="n">
        <v>25.014417</v>
      </c>
      <c r="H1362" t="n">
        <v>121.422342</v>
      </c>
      <c r="I1362" t="n">
        <v>8</v>
      </c>
      <c r="J1362" t="n">
        <v>18.3</v>
      </c>
      <c r="K1362" t="n">
        <v>391.5</v>
      </c>
      <c r="L1362" t="inlineStr">
        <is>
          <t>Primary</t>
        </is>
      </c>
    </row>
    <row r="1363">
      <c r="A1363" t="n">
        <v>2</v>
      </c>
      <c r="B1363" s="29" t="inlineStr">
        <is>
          <t>S09</t>
        </is>
      </c>
      <c r="C1363" t="inlineStr">
        <is>
          <t>PZ-D</t>
        </is>
      </c>
      <c r="D1363" t="n">
        <v>24</v>
      </c>
      <c r="E1363" t="inlineStr">
        <is>
          <t>F0080</t>
        </is>
      </c>
      <c r="F1363" t="inlineStr">
        <is>
          <t>新北市土城區金城路2段&amp;龍山二街口-C、D棟7F</t>
        </is>
      </c>
      <c r="G1363" t="n">
        <v>24.978939</v>
      </c>
      <c r="H1363" t="n">
        <v>121.450911</v>
      </c>
      <c r="I1363" t="n">
        <v>32</v>
      </c>
      <c r="J1363" t="n">
        <v>11.7</v>
      </c>
      <c r="K1363" t="n">
        <v>435.3</v>
      </c>
      <c r="L1363" t="inlineStr">
        <is>
          <t>Primary</t>
        </is>
      </c>
    </row>
    <row r="1364">
      <c r="A1364" t="n">
        <v>2</v>
      </c>
      <c r="B1364" s="29" t="inlineStr">
        <is>
          <t>S09</t>
        </is>
      </c>
      <c r="C1364" t="inlineStr">
        <is>
          <t>PZ-D</t>
        </is>
      </c>
      <c r="D1364" t="n">
        <v>25</v>
      </c>
      <c r="E1364" t="inlineStr">
        <is>
          <t>F0084</t>
        </is>
      </c>
      <c r="F1364" t="inlineStr">
        <is>
          <t>新北市土城區金城路2段&amp;龍山二街口-D棟-12F</t>
        </is>
      </c>
      <c r="G1364" t="n">
        <v>24.978939</v>
      </c>
      <c r="H1364" t="n">
        <v>121.450911</v>
      </c>
      <c r="I1364" t="n">
        <v>16</v>
      </c>
      <c r="J1364" t="n">
        <v>2</v>
      </c>
      <c r="K1364" t="n">
        <v>453.3</v>
      </c>
      <c r="L1364" t="inlineStr">
        <is>
          <t>Primary</t>
        </is>
      </c>
    </row>
    <row r="1365">
      <c r="A1365" t="n">
        <v>2</v>
      </c>
      <c r="B1365" s="29" t="inlineStr">
        <is>
          <t>S09</t>
        </is>
      </c>
      <c r="C1365" t="inlineStr">
        <is>
          <t>PZ-D</t>
        </is>
      </c>
      <c r="D1365" t="n">
        <v>26</v>
      </c>
      <c r="E1365" t="inlineStr">
        <is>
          <t>F0080</t>
        </is>
      </c>
      <c r="F1365" t="inlineStr">
        <is>
          <t>新北市土城區金城路2段&amp;龍山二街口-C、D棟7F</t>
        </is>
      </c>
      <c r="G1365" t="n">
        <v>24.9787066</v>
      </c>
      <c r="H1365" t="n">
        <v>121.450939</v>
      </c>
      <c r="I1365" t="n">
        <v>16</v>
      </c>
      <c r="J1365" t="n">
        <v>2</v>
      </c>
      <c r="K1365" t="n">
        <v>471.3</v>
      </c>
      <c r="L1365" t="inlineStr">
        <is>
          <t>Primary</t>
        </is>
      </c>
    </row>
    <row r="1366">
      <c r="A1366" t="n">
        <v>2</v>
      </c>
      <c r="B1366" s="29" t="inlineStr">
        <is>
          <t>S09</t>
        </is>
      </c>
      <c r="C1366" t="inlineStr">
        <is>
          <t>PZ-D</t>
        </is>
      </c>
      <c r="D1366" t="n">
        <v>27</v>
      </c>
      <c r="E1366" t="inlineStr">
        <is>
          <t>F0072</t>
        </is>
      </c>
      <c r="F1366" t="inlineStr">
        <is>
          <t>新北市土城區金城路2段&amp;龍山二街口-A棟</t>
        </is>
      </c>
      <c r="G1366" t="n">
        <v>24.979153</v>
      </c>
      <c r="H1366" t="n">
        <v>121.451458</v>
      </c>
      <c r="I1366" t="n">
        <v>18</v>
      </c>
      <c r="J1366" t="n">
        <v>2</v>
      </c>
      <c r="K1366" t="n">
        <v>491.3</v>
      </c>
      <c r="L1366" t="inlineStr">
        <is>
          <t>Primary</t>
        </is>
      </c>
    </row>
    <row r="1367">
      <c r="A1367" t="n">
        <v>2</v>
      </c>
      <c r="B1367" s="29" t="inlineStr">
        <is>
          <t>S09</t>
        </is>
      </c>
      <c r="C1367" t="inlineStr">
        <is>
          <t>PZ-D</t>
        </is>
      </c>
      <c r="D1367" t="n">
        <v>28</v>
      </c>
      <c r="E1367" t="inlineStr">
        <is>
          <t>F0073</t>
        </is>
      </c>
      <c r="F1367" t="inlineStr">
        <is>
          <t>新北市土城區金城路2段&amp;龍山二街口-A棟-10F</t>
        </is>
      </c>
      <c r="G1367" t="n">
        <v>24.979153</v>
      </c>
      <c r="H1367" t="n">
        <v>121.451458</v>
      </c>
      <c r="I1367" t="n">
        <v>18</v>
      </c>
      <c r="J1367" t="n">
        <v>2</v>
      </c>
      <c r="K1367" t="n">
        <v>511.3</v>
      </c>
      <c r="L1367" t="inlineStr">
        <is>
          <t>Primary</t>
        </is>
      </c>
    </row>
    <row r="1368">
      <c r="A1368" t="n">
        <v>3</v>
      </c>
      <c r="B1368" s="29" t="inlineStr">
        <is>
          <t>S09</t>
        </is>
      </c>
      <c r="C1368" t="inlineStr">
        <is>
          <t>PZ-D</t>
        </is>
      </c>
      <c r="D1368" t="n">
        <v>1</v>
      </c>
      <c r="E1368" t="inlineStr">
        <is>
          <t>F0075</t>
        </is>
      </c>
      <c r="F1368" t="inlineStr">
        <is>
          <t>新北市土城區金城路2段&amp;龍山二街口-A棟-3F</t>
        </is>
      </c>
      <c r="G1368" t="n">
        <v>24.979153</v>
      </c>
      <c r="H1368" t="n">
        <v>121.451458</v>
      </c>
      <c r="I1368" t="n">
        <v>18</v>
      </c>
      <c r="J1368" t="n">
        <v>24</v>
      </c>
      <c r="K1368" t="n">
        <v>42</v>
      </c>
      <c r="L1368" t="inlineStr">
        <is>
          <t>Primary</t>
        </is>
      </c>
    </row>
    <row r="1369">
      <c r="A1369" t="n">
        <v>3</v>
      </c>
      <c r="B1369" s="29" t="inlineStr">
        <is>
          <t>S09</t>
        </is>
      </c>
      <c r="C1369" t="inlineStr">
        <is>
          <t>PZ-D</t>
        </is>
      </c>
      <c r="D1369" t="n">
        <v>2</v>
      </c>
      <c r="E1369" t="inlineStr">
        <is>
          <t>F0079</t>
        </is>
      </c>
      <c r="F1369" t="inlineStr">
        <is>
          <t>新北市土城區金城路2段&amp;龍山二街口-B棟-3F</t>
        </is>
      </c>
      <c r="G1369" t="n">
        <v>24.979153</v>
      </c>
      <c r="H1369" t="n">
        <v>121.451458</v>
      </c>
      <c r="I1369" t="n">
        <v>18</v>
      </c>
      <c r="J1369" t="n">
        <v>2</v>
      </c>
      <c r="K1369" t="n">
        <v>62</v>
      </c>
      <c r="L1369" t="inlineStr">
        <is>
          <t>Primary</t>
        </is>
      </c>
    </row>
    <row r="1370">
      <c r="A1370" t="n">
        <v>3</v>
      </c>
      <c r="B1370" s="29" t="inlineStr">
        <is>
          <t>S09</t>
        </is>
      </c>
      <c r="C1370" t="inlineStr">
        <is>
          <t>PZ-D</t>
        </is>
      </c>
      <c r="D1370" t="n">
        <v>3</v>
      </c>
      <c r="E1370" t="inlineStr">
        <is>
          <t>F0083</t>
        </is>
      </c>
      <c r="F1370" t="inlineStr">
        <is>
          <t>新北市土城區金城路2段&amp;龍山二街口-D棟</t>
        </is>
      </c>
      <c r="G1370" t="n">
        <v>24.979153</v>
      </c>
      <c r="H1370" t="n">
        <v>121.451458</v>
      </c>
      <c r="I1370" t="n">
        <v>16</v>
      </c>
      <c r="J1370" t="n">
        <v>2</v>
      </c>
      <c r="K1370" t="n">
        <v>80</v>
      </c>
      <c r="L1370" t="inlineStr">
        <is>
          <t>Primary</t>
        </is>
      </c>
    </row>
    <row r="1371">
      <c r="A1371" t="n">
        <v>3</v>
      </c>
      <c r="B1371" s="29" t="inlineStr">
        <is>
          <t>S09</t>
        </is>
      </c>
      <c r="C1371" t="inlineStr">
        <is>
          <t>PZ-D</t>
        </is>
      </c>
      <c r="D1371" t="n">
        <v>4</v>
      </c>
      <c r="E1371" t="inlineStr">
        <is>
          <t>F0100</t>
        </is>
      </c>
      <c r="F1371" t="inlineStr">
        <is>
          <t>新北市中和區莒光路84巷與國光街112巷交叉口</t>
        </is>
      </c>
      <c r="G1371" t="n">
        <v>25.002206</v>
      </c>
      <c r="H1371" t="n">
        <v>121.471486</v>
      </c>
      <c r="I1371" t="n">
        <v>16</v>
      </c>
      <c r="J1371" t="n">
        <v>7.8</v>
      </c>
      <c r="K1371" t="n">
        <v>103.9</v>
      </c>
      <c r="L1371" t="inlineStr">
        <is>
          <t>Primary</t>
        </is>
      </c>
    </row>
    <row r="1372">
      <c r="A1372" t="n">
        <v>3</v>
      </c>
      <c r="B1372" s="29" t="inlineStr">
        <is>
          <t>S09</t>
        </is>
      </c>
      <c r="C1372" t="inlineStr">
        <is>
          <t>PZ-D</t>
        </is>
      </c>
      <c r="D1372" t="n">
        <v>5</v>
      </c>
      <c r="E1372" t="inlineStr">
        <is>
          <t>F0095</t>
        </is>
      </c>
      <c r="F1372" t="inlineStr">
        <is>
          <t>新北市中和區立德街310號旁</t>
        </is>
      </c>
      <c r="G1372" t="n">
        <v>25.010506</v>
      </c>
      <c r="H1372" t="n">
        <v>121.482411</v>
      </c>
      <c r="I1372" t="n">
        <v>8</v>
      </c>
      <c r="J1372" t="n">
        <v>3.4</v>
      </c>
      <c r="K1372" t="n">
        <v>115.3</v>
      </c>
      <c r="L1372" t="inlineStr">
        <is>
          <t>Primary</t>
        </is>
      </c>
    </row>
    <row r="1373">
      <c r="A1373" t="n">
        <v>3</v>
      </c>
      <c r="B1373" s="29" t="inlineStr">
        <is>
          <t>S09</t>
        </is>
      </c>
      <c r="C1373" t="inlineStr">
        <is>
          <t>PZ-D</t>
        </is>
      </c>
      <c r="D1373" t="n">
        <v>6</v>
      </c>
      <c r="E1373" t="inlineStr">
        <is>
          <t>A0217</t>
        </is>
      </c>
      <c r="F1373" t="inlineStr">
        <is>
          <t>臺北市萬華區萬大路附近-華中橋下-電聯帶定位</t>
        </is>
      </c>
      <c r="G1373" t="n">
        <v>25.0135936</v>
      </c>
      <c r="H1373" t="n">
        <v>121.495496</v>
      </c>
      <c r="I1373" t="n">
        <v>32</v>
      </c>
      <c r="J1373" t="n">
        <v>3.3</v>
      </c>
      <c r="K1373" t="n">
        <v>150.6</v>
      </c>
      <c r="L1373" t="inlineStr">
        <is>
          <t>Primary</t>
        </is>
      </c>
    </row>
    <row r="1374">
      <c r="A1374" t="n">
        <v>3</v>
      </c>
      <c r="B1374" s="29" t="inlineStr">
        <is>
          <t>S09</t>
        </is>
      </c>
      <c r="C1374" t="inlineStr">
        <is>
          <t>PZ-D</t>
        </is>
      </c>
      <c r="D1374" t="n">
        <v>7</v>
      </c>
      <c r="E1374" t="inlineStr">
        <is>
          <t>A0214</t>
        </is>
      </c>
      <c r="F1374" t="inlineStr">
        <is>
          <t>臺北市萬華區長泰街128號-CQ850A</t>
        </is>
      </c>
      <c r="G1374" t="n">
        <v>25.0222542</v>
      </c>
      <c r="H1374" t="n">
        <v>121.4988466</v>
      </c>
      <c r="I1374" t="n">
        <v>8</v>
      </c>
      <c r="J1374" t="n">
        <v>3</v>
      </c>
      <c r="K1374" t="n">
        <v>161.6</v>
      </c>
      <c r="L1374" t="inlineStr">
        <is>
          <t>Primary</t>
        </is>
      </c>
    </row>
    <row r="1375">
      <c r="A1375" t="n">
        <v>3</v>
      </c>
      <c r="B1375" s="29" t="inlineStr">
        <is>
          <t>S09</t>
        </is>
      </c>
      <c r="C1375" t="inlineStr">
        <is>
          <t>PZ-D</t>
        </is>
      </c>
      <c r="D1375" t="n">
        <v>8</v>
      </c>
      <c r="E1375" t="inlineStr">
        <is>
          <t>A0216</t>
        </is>
      </c>
      <c r="F1375" t="inlineStr">
        <is>
          <t>臺北市萬華區萬大路長泰街口-萬大國小-CQ850A</t>
        </is>
      </c>
      <c r="G1375" t="n">
        <v>25.022575</v>
      </c>
      <c r="H1375" t="n">
        <v>121.499114</v>
      </c>
      <c r="I1375" t="n">
        <v>16</v>
      </c>
      <c r="J1375" t="n">
        <v>2</v>
      </c>
      <c r="K1375" t="n">
        <v>179.6</v>
      </c>
      <c r="L1375" t="inlineStr">
        <is>
          <t>Primary</t>
        </is>
      </c>
    </row>
    <row r="1376">
      <c r="A1376" t="n">
        <v>3</v>
      </c>
      <c r="B1376" s="29" t="inlineStr">
        <is>
          <t>S09</t>
        </is>
      </c>
      <c r="C1376" t="inlineStr">
        <is>
          <t>PZ-D</t>
        </is>
      </c>
      <c r="D1376" t="n">
        <v>9</v>
      </c>
      <c r="E1376" t="inlineStr">
        <is>
          <t>A0210</t>
        </is>
      </c>
      <c r="F1376" t="inlineStr">
        <is>
          <t>臺北市萬華區中華路二段416巷10弄9號旁空地</t>
        </is>
      </c>
      <c r="G1376" t="n">
        <v>25.028017</v>
      </c>
      <c r="H1376" t="n">
        <v>121.504761</v>
      </c>
      <c r="I1376" t="n">
        <v>8</v>
      </c>
      <c r="J1376" t="n">
        <v>3</v>
      </c>
      <c r="K1376" t="n">
        <v>190.6</v>
      </c>
      <c r="L1376" t="inlineStr">
        <is>
          <t>Primary</t>
        </is>
      </c>
    </row>
    <row r="1377">
      <c r="A1377" t="n">
        <v>3</v>
      </c>
      <c r="B1377" s="29" t="inlineStr">
        <is>
          <t>S09</t>
        </is>
      </c>
      <c r="C1377" t="inlineStr">
        <is>
          <t>PZ-D</t>
        </is>
      </c>
      <c r="D1377" t="n">
        <v>10</v>
      </c>
      <c r="E1377" t="inlineStr">
        <is>
          <t>A0213</t>
        </is>
      </c>
      <c r="F1377" t="inlineStr">
        <is>
          <t>臺北市萬華區和平西路三段125號-艋舺公園工地</t>
        </is>
      </c>
      <c r="G1377" t="n">
        <v>25.035666</v>
      </c>
      <c r="H1377" t="n">
        <v>121.500028</v>
      </c>
      <c r="I1377" t="n">
        <v>16</v>
      </c>
      <c r="J1377" t="n">
        <v>3</v>
      </c>
      <c r="K1377" t="n">
        <v>209.6</v>
      </c>
      <c r="L1377" t="inlineStr">
        <is>
          <t>Primary</t>
        </is>
      </c>
    </row>
    <row r="1378">
      <c r="A1378" t="n">
        <v>3</v>
      </c>
      <c r="B1378" s="29" t="inlineStr">
        <is>
          <t>S09</t>
        </is>
      </c>
      <c r="C1378" t="inlineStr">
        <is>
          <t>PZ-D</t>
        </is>
      </c>
      <c r="D1378" t="n">
        <v>11</v>
      </c>
      <c r="E1378" t="inlineStr">
        <is>
          <t>A0083</t>
        </is>
      </c>
      <c r="F1378" t="inlineStr">
        <is>
          <t>臺北市中正區延平南路&amp;寶慶路交叉口</t>
        </is>
      </c>
      <c r="G1378" t="n">
        <v>25.041777</v>
      </c>
      <c r="H1378" t="n">
        <v>121.509231</v>
      </c>
      <c r="I1378" t="n">
        <v>16</v>
      </c>
      <c r="J1378" t="n">
        <v>3</v>
      </c>
      <c r="K1378" t="n">
        <v>228.6</v>
      </c>
      <c r="L1378" t="inlineStr">
        <is>
          <t>Primary</t>
        </is>
      </c>
    </row>
    <row r="1379">
      <c r="A1379" t="n">
        <v>3</v>
      </c>
      <c r="B1379" s="29" t="inlineStr">
        <is>
          <t>S09</t>
        </is>
      </c>
      <c r="C1379" t="inlineStr">
        <is>
          <t>PZ-D</t>
        </is>
      </c>
      <c r="D1379" t="n">
        <v>12</v>
      </c>
      <c r="E1379" t="inlineStr">
        <is>
          <t>A0081</t>
        </is>
      </c>
      <c r="F1379" t="inlineStr">
        <is>
          <t>臺北市中正區北平西路7號(機捷)-D棟</t>
        </is>
      </c>
      <c r="G1379" t="n">
        <v>25.048291</v>
      </c>
      <c r="H1379" t="n">
        <v>121.513317</v>
      </c>
      <c r="I1379" t="n">
        <v>16</v>
      </c>
      <c r="J1379" t="n">
        <v>3</v>
      </c>
      <c r="K1379" t="n">
        <v>247.6</v>
      </c>
      <c r="L1379" t="inlineStr">
        <is>
          <t>Primary</t>
        </is>
      </c>
    </row>
    <row r="1380">
      <c r="A1380" t="n">
        <v>3</v>
      </c>
      <c r="B1380" s="29" t="inlineStr">
        <is>
          <t>S09</t>
        </is>
      </c>
      <c r="C1380" t="inlineStr">
        <is>
          <t>PZ-D</t>
        </is>
      </c>
      <c r="D1380" t="n">
        <v>13</v>
      </c>
      <c r="E1380" t="inlineStr">
        <is>
          <t>A0080</t>
        </is>
      </c>
      <c r="F1380" t="inlineStr">
        <is>
          <t>臺北市中正區北平西路7號(機捷)-C棟</t>
        </is>
      </c>
      <c r="G1380" t="n">
        <v>25.048325</v>
      </c>
      <c r="H1380" t="n">
        <v>121.513333</v>
      </c>
      <c r="I1380" t="n">
        <v>48</v>
      </c>
      <c r="J1380" t="n">
        <v>2</v>
      </c>
      <c r="K1380" t="n">
        <v>297.6</v>
      </c>
      <c r="L1380" t="inlineStr">
        <is>
          <t>Primary</t>
        </is>
      </c>
    </row>
    <row r="1381">
      <c r="A1381" t="n">
        <v>3</v>
      </c>
      <c r="B1381" s="29" t="inlineStr">
        <is>
          <t>S09</t>
        </is>
      </c>
      <c r="C1381" t="inlineStr">
        <is>
          <t>PZ-D</t>
        </is>
      </c>
      <c r="D1381" t="n">
        <v>14</v>
      </c>
      <c r="E1381" t="inlineStr">
        <is>
          <t>A0044</t>
        </is>
      </c>
      <c r="F1381" t="inlineStr">
        <is>
          <t>臺北市大同區延平北路二段38號</t>
        </is>
      </c>
      <c r="G1381" t="n">
        <v>25.0549775</v>
      </c>
      <c r="H1381" t="n">
        <v>121.5116144</v>
      </c>
      <c r="I1381" t="n">
        <v>8</v>
      </c>
      <c r="J1381" t="n">
        <v>3</v>
      </c>
      <c r="K1381" t="n">
        <v>308.6</v>
      </c>
      <c r="L1381" t="inlineStr">
        <is>
          <t>Primary</t>
        </is>
      </c>
    </row>
    <row r="1382">
      <c r="A1382" t="n">
        <v>3</v>
      </c>
      <c r="B1382" s="29" t="inlineStr">
        <is>
          <t>S09</t>
        </is>
      </c>
      <c r="C1382" t="inlineStr">
        <is>
          <t>PZ-D</t>
        </is>
      </c>
      <c r="D1382" t="n">
        <v>15</v>
      </c>
      <c r="E1382" t="inlineStr">
        <is>
          <t>A0044</t>
        </is>
      </c>
      <c r="F1382" t="inlineStr">
        <is>
          <t>臺北市大同區延平北路二段38號</t>
        </is>
      </c>
      <c r="G1382" t="n">
        <v>25.055117</v>
      </c>
      <c r="H1382" t="n">
        <v>121.511686</v>
      </c>
      <c r="I1382" t="n">
        <v>8</v>
      </c>
      <c r="J1382" t="n">
        <v>2</v>
      </c>
      <c r="K1382" t="n">
        <v>318.6</v>
      </c>
      <c r="L1382" t="inlineStr">
        <is>
          <t>Primary</t>
        </is>
      </c>
    </row>
    <row r="1383">
      <c r="A1383" t="n">
        <v>3</v>
      </c>
      <c r="B1383" s="29" t="inlineStr">
        <is>
          <t>S09</t>
        </is>
      </c>
      <c r="C1383" t="inlineStr">
        <is>
          <t>PZ-D</t>
        </is>
      </c>
      <c r="D1383" t="n">
        <v>16</v>
      </c>
      <c r="E1383" t="inlineStr">
        <is>
          <t>A0047</t>
        </is>
      </c>
      <c r="F1383" t="inlineStr">
        <is>
          <t>臺北市大同區蘭州街118號</t>
        </is>
      </c>
      <c r="G1383" t="n">
        <v>25.065464</v>
      </c>
      <c r="H1383" t="n">
        <v>121.515636</v>
      </c>
      <c r="I1383" t="n">
        <v>8</v>
      </c>
      <c r="J1383" t="n">
        <v>3</v>
      </c>
      <c r="K1383" t="n">
        <v>329.6</v>
      </c>
      <c r="L1383" t="inlineStr">
        <is>
          <t>Primary</t>
        </is>
      </c>
    </row>
    <row r="1384">
      <c r="A1384" t="n">
        <v>3</v>
      </c>
      <c r="B1384" s="29" t="inlineStr">
        <is>
          <t>S09</t>
        </is>
      </c>
      <c r="C1384" t="inlineStr">
        <is>
          <t>PZ-D</t>
        </is>
      </c>
      <c r="D1384" t="n">
        <v>17</v>
      </c>
      <c r="E1384" t="inlineStr">
        <is>
          <t>A0041</t>
        </is>
      </c>
      <c r="F1384" t="inlineStr">
        <is>
          <t>臺北市大同區大龍街91巷19號</t>
        </is>
      </c>
      <c r="G1384" t="n">
        <v>25.067289</v>
      </c>
      <c r="H1384" t="n">
        <v>121.51722</v>
      </c>
      <c r="I1384" t="n">
        <v>8</v>
      </c>
      <c r="J1384" t="n">
        <v>3</v>
      </c>
      <c r="K1384" t="n">
        <v>340.6</v>
      </c>
      <c r="L1384" t="inlineStr">
        <is>
          <t>Primary</t>
        </is>
      </c>
    </row>
    <row r="1385">
      <c r="A1385" t="n">
        <v>3</v>
      </c>
      <c r="B1385" s="29" t="inlineStr">
        <is>
          <t>S09</t>
        </is>
      </c>
      <c r="C1385" t="inlineStr">
        <is>
          <t>PZ-D</t>
        </is>
      </c>
      <c r="D1385" t="n">
        <v>18</v>
      </c>
      <c r="E1385" t="inlineStr">
        <is>
          <t>A0042</t>
        </is>
      </c>
      <c r="F1385" t="inlineStr">
        <is>
          <t>臺北市大同區民族西路176號-永筑埕光</t>
        </is>
      </c>
      <c r="G1385" t="n">
        <v>25.068606</v>
      </c>
      <c r="H1385" t="n">
        <v>121.514961</v>
      </c>
      <c r="I1385" t="n">
        <v>8</v>
      </c>
      <c r="J1385" t="n">
        <v>3</v>
      </c>
      <c r="K1385" t="n">
        <v>351.6</v>
      </c>
      <c r="L1385" t="inlineStr">
        <is>
          <t>Primary</t>
        </is>
      </c>
    </row>
    <row r="1386">
      <c r="A1386" t="n">
        <v>3</v>
      </c>
      <c r="B1386" s="29" t="inlineStr">
        <is>
          <t>S09</t>
        </is>
      </c>
      <c r="C1386" t="inlineStr">
        <is>
          <t>PZ-D</t>
        </is>
      </c>
      <c r="D1386" t="n">
        <v>19</v>
      </c>
      <c r="E1386" t="inlineStr">
        <is>
          <t>A0043</t>
        </is>
      </c>
      <c r="F1386" t="inlineStr">
        <is>
          <t>臺北市大同區民族西路188號</t>
        </is>
      </c>
      <c r="G1386" t="n">
        <v>25.068528</v>
      </c>
      <c r="H1386" t="n">
        <v>121.514503</v>
      </c>
      <c r="I1386" t="n">
        <v>8</v>
      </c>
      <c r="J1386" t="n">
        <v>2</v>
      </c>
      <c r="K1386" t="n">
        <v>361.6</v>
      </c>
      <c r="L1386" t="inlineStr">
        <is>
          <t>Primary</t>
        </is>
      </c>
    </row>
    <row r="1387">
      <c r="A1387" t="n">
        <v>3</v>
      </c>
      <c r="B1387" s="29" t="inlineStr">
        <is>
          <t>S09</t>
        </is>
      </c>
      <c r="C1387" t="inlineStr">
        <is>
          <t>PZ-D</t>
        </is>
      </c>
      <c r="D1387" t="n">
        <v>20</v>
      </c>
      <c r="E1387" t="inlineStr">
        <is>
          <t>A0045</t>
        </is>
      </c>
      <c r="F1387" t="inlineStr">
        <is>
          <t>臺北市大同區哈密街118號</t>
        </is>
      </c>
      <c r="G1387" t="n">
        <v>25.072939</v>
      </c>
      <c r="H1387" t="n">
        <v>121.514222</v>
      </c>
      <c r="I1387" t="n">
        <v>8</v>
      </c>
      <c r="J1387" t="n">
        <v>3</v>
      </c>
      <c r="K1387" t="n">
        <v>372.6</v>
      </c>
      <c r="L1387" t="inlineStr">
        <is>
          <t>Primary</t>
        </is>
      </c>
    </row>
    <row r="1388">
      <c r="A1388" t="n">
        <v>3</v>
      </c>
      <c r="B1388" s="29" t="inlineStr">
        <is>
          <t>S09</t>
        </is>
      </c>
      <c r="C1388" t="inlineStr">
        <is>
          <t>PZ-D</t>
        </is>
      </c>
      <c r="D1388" t="n">
        <v>21</v>
      </c>
      <c r="E1388" t="inlineStr">
        <is>
          <t>A0046</t>
        </is>
      </c>
      <c r="F1388" t="inlineStr">
        <is>
          <t>臺北市大同區哈密街59巷31弄6號</t>
        </is>
      </c>
      <c r="G1388" t="n">
        <v>25.075373</v>
      </c>
      <c r="H1388" t="n">
        <v>121.515719</v>
      </c>
      <c r="I1388" t="n">
        <v>8</v>
      </c>
      <c r="J1388" t="n">
        <v>3</v>
      </c>
      <c r="K1388" t="n">
        <v>383.6</v>
      </c>
      <c r="L1388" t="inlineStr">
        <is>
          <t>Primary</t>
        </is>
      </c>
    </row>
    <row r="1389">
      <c r="A1389" t="n">
        <v>3</v>
      </c>
      <c r="B1389" s="29" t="inlineStr">
        <is>
          <t>S09</t>
        </is>
      </c>
      <c r="C1389" t="inlineStr">
        <is>
          <t>PZ-D</t>
        </is>
      </c>
      <c r="D1389" t="n">
        <v>22</v>
      </c>
      <c r="E1389" t="inlineStr">
        <is>
          <t>A0074</t>
        </is>
      </c>
      <c r="F1389" t="inlineStr">
        <is>
          <t>臺北市中山區民族西路29號對面工地</t>
        </is>
      </c>
      <c r="G1389" t="n">
        <v>25.06785</v>
      </c>
      <c r="H1389" t="n">
        <v>121.519859</v>
      </c>
      <c r="I1389" t="n">
        <v>8</v>
      </c>
      <c r="J1389" t="n">
        <v>3</v>
      </c>
      <c r="K1389" t="n">
        <v>394.6</v>
      </c>
      <c r="L1389" t="inlineStr">
        <is>
          <t>Primary</t>
        </is>
      </c>
    </row>
    <row r="1390">
      <c r="A1390" t="n">
        <v>3</v>
      </c>
      <c r="B1390" s="29" t="inlineStr">
        <is>
          <t>S09</t>
        </is>
      </c>
      <c r="C1390" t="inlineStr">
        <is>
          <t>PZ-D</t>
        </is>
      </c>
      <c r="D1390" t="n">
        <v>23</v>
      </c>
      <c r="E1390" t="inlineStr">
        <is>
          <t>A0073</t>
        </is>
      </c>
      <c r="F1390" t="inlineStr">
        <is>
          <t>臺北市中山區民生東路一段18號</t>
        </is>
      </c>
      <c r="G1390" t="n">
        <v>25.058017</v>
      </c>
      <c r="H1390" t="n">
        <v>121.523684</v>
      </c>
      <c r="I1390" t="n">
        <v>8</v>
      </c>
      <c r="J1390" t="n">
        <v>3</v>
      </c>
      <c r="K1390" t="n">
        <v>405.6</v>
      </c>
      <c r="L1390" t="inlineStr">
        <is>
          <t>Primary</t>
        </is>
      </c>
    </row>
    <row r="1391">
      <c r="A1391" t="n">
        <v>3</v>
      </c>
      <c r="B1391" s="29" t="inlineStr">
        <is>
          <t>S09</t>
        </is>
      </c>
      <c r="C1391" t="inlineStr">
        <is>
          <t>PZ-D</t>
        </is>
      </c>
      <c r="D1391" t="n">
        <v>24</v>
      </c>
      <c r="E1391" t="inlineStr">
        <is>
          <t>A0073</t>
        </is>
      </c>
      <c r="F1391" t="inlineStr">
        <is>
          <t>臺北市中山區民生東路一段18號</t>
        </is>
      </c>
      <c r="G1391" t="n">
        <v>25.0578611</v>
      </c>
      <c r="H1391" t="n">
        <v>121.5235955</v>
      </c>
      <c r="I1391" t="n">
        <v>8</v>
      </c>
      <c r="J1391" t="n">
        <v>2</v>
      </c>
      <c r="K1391" t="n">
        <v>415.6</v>
      </c>
      <c r="L1391" t="inlineStr">
        <is>
          <t>Primary</t>
        </is>
      </c>
    </row>
    <row r="1392">
      <c r="A1392" t="n">
        <v>3</v>
      </c>
      <c r="B1392" s="29" t="inlineStr">
        <is>
          <t>S09</t>
        </is>
      </c>
      <c r="C1392" t="inlineStr">
        <is>
          <t>PZ-D</t>
        </is>
      </c>
      <c r="D1392" t="n">
        <v>25</v>
      </c>
      <c r="E1392" t="inlineStr">
        <is>
          <t>A0086</t>
        </is>
      </c>
      <c r="F1392" t="inlineStr">
        <is>
          <t>臺北市中正區林森北路&amp;北平東路交叉口-拆除工程</t>
        </is>
      </c>
      <c r="G1392" t="n">
        <v>25.046741</v>
      </c>
      <c r="H1392" t="n">
        <v>121.524289</v>
      </c>
      <c r="I1392" t="n">
        <v>16</v>
      </c>
      <c r="J1392" t="n">
        <v>3</v>
      </c>
      <c r="K1392" t="n">
        <v>434.6</v>
      </c>
      <c r="L1392" t="inlineStr">
        <is>
          <t>Primary</t>
        </is>
      </c>
    </row>
    <row r="1393">
      <c r="A1393" t="n">
        <v>3</v>
      </c>
      <c r="B1393" s="29" t="inlineStr">
        <is>
          <t>S09</t>
        </is>
      </c>
      <c r="C1393" t="inlineStr">
        <is>
          <t>PZ-D</t>
        </is>
      </c>
      <c r="D1393" t="n">
        <v>26</v>
      </c>
      <c r="E1393" t="inlineStr">
        <is>
          <t>A0084</t>
        </is>
      </c>
      <c r="F1393" t="inlineStr">
        <is>
          <t>臺北市中正區杭州南路1段29號</t>
        </is>
      </c>
      <c r="G1393" t="n">
        <v>25.041869</v>
      </c>
      <c r="H1393" t="n">
        <v>121.527081</v>
      </c>
      <c r="I1393" t="n">
        <v>8</v>
      </c>
      <c r="J1393" t="n">
        <v>3</v>
      </c>
      <c r="K1393" t="n">
        <v>445.6</v>
      </c>
      <c r="L1393" t="inlineStr">
        <is>
          <t>Primary</t>
        </is>
      </c>
    </row>
    <row r="1394">
      <c r="A1394" t="n">
        <v>3</v>
      </c>
      <c r="B1394" s="29" t="inlineStr">
        <is>
          <t>S09</t>
        </is>
      </c>
      <c r="C1394" t="inlineStr">
        <is>
          <t>PZ-D</t>
        </is>
      </c>
      <c r="D1394" t="n">
        <v>27</v>
      </c>
      <c r="E1394" t="inlineStr">
        <is>
          <t>A0085</t>
        </is>
      </c>
      <c r="F1394" t="inlineStr">
        <is>
          <t>臺北市中正區杭州南路一段69號旁</t>
        </is>
      </c>
      <c r="G1394" t="n">
        <v>25.039986</v>
      </c>
      <c r="H1394" t="n">
        <v>121.525675</v>
      </c>
      <c r="I1394" t="n">
        <v>8</v>
      </c>
      <c r="J1394" t="n">
        <v>3</v>
      </c>
      <c r="K1394" t="n">
        <v>456.6</v>
      </c>
      <c r="L1394" t="inlineStr">
        <is>
          <t>Primary</t>
        </is>
      </c>
    </row>
    <row r="1395">
      <c r="A1395" t="n">
        <v>3</v>
      </c>
      <c r="B1395" s="29" t="inlineStr">
        <is>
          <t>S09</t>
        </is>
      </c>
      <c r="C1395" t="inlineStr">
        <is>
          <t>PZ-D</t>
        </is>
      </c>
      <c r="D1395" t="n">
        <v>28</v>
      </c>
      <c r="E1395" t="inlineStr">
        <is>
          <t>A0077</t>
        </is>
      </c>
      <c r="F1395" t="inlineStr">
        <is>
          <t>臺北市中正區仁愛路2段44號</t>
        </is>
      </c>
      <c r="G1395" t="n">
        <v>25.038119</v>
      </c>
      <c r="H1395" t="n">
        <v>121.527778</v>
      </c>
      <c r="I1395" t="n">
        <v>8</v>
      </c>
      <c r="J1395" t="n">
        <v>3</v>
      </c>
      <c r="K1395" t="n">
        <v>467.6</v>
      </c>
      <c r="L1395" t="inlineStr">
        <is>
          <t>Primary</t>
        </is>
      </c>
    </row>
    <row r="1396">
      <c r="A1396" t="n">
        <v>3</v>
      </c>
      <c r="B1396" s="29" t="inlineStr">
        <is>
          <t>S09</t>
        </is>
      </c>
      <c r="C1396" t="inlineStr">
        <is>
          <t>PZ-D</t>
        </is>
      </c>
      <c r="D1396" t="n">
        <v>29</v>
      </c>
      <c r="E1396" t="inlineStr">
        <is>
          <t>A0094</t>
        </is>
      </c>
      <c r="F1396" t="inlineStr">
        <is>
          <t>臺北市中正區臨沂街71巷19弄23號</t>
        </is>
      </c>
      <c r="G1396" t="n">
        <v>25.037111</v>
      </c>
      <c r="H1396" t="n">
        <v>121.531545</v>
      </c>
      <c r="I1396" t="n">
        <v>8</v>
      </c>
      <c r="J1396" t="n">
        <v>3</v>
      </c>
      <c r="K1396" t="n">
        <v>478.6</v>
      </c>
      <c r="L1396" t="inlineStr">
        <is>
          <t>Primary</t>
        </is>
      </c>
    </row>
    <row r="1397">
      <c r="A1397" t="n">
        <v>3</v>
      </c>
      <c r="B1397" s="29" t="inlineStr">
        <is>
          <t>S09</t>
        </is>
      </c>
      <c r="C1397" t="inlineStr">
        <is>
          <t>PZ-D</t>
        </is>
      </c>
      <c r="D1397" t="n">
        <v>30</v>
      </c>
      <c r="E1397" t="inlineStr">
        <is>
          <t>A0096</t>
        </is>
      </c>
      <c r="F1397" t="inlineStr">
        <is>
          <t>臺北市中正區臨沂街75巷29號(從連雲街進入)</t>
        </is>
      </c>
      <c r="G1397" t="n">
        <v>25.034719</v>
      </c>
      <c r="H1397" t="n">
        <v>121.530042</v>
      </c>
      <c r="I1397" t="n">
        <v>12</v>
      </c>
      <c r="J1397" t="n">
        <v>3</v>
      </c>
      <c r="K1397" t="n">
        <v>493.6</v>
      </c>
      <c r="L1397" t="inlineStr">
        <is>
          <t>Primary</t>
        </is>
      </c>
    </row>
    <row r="1398">
      <c r="A1398" t="n">
        <v>3</v>
      </c>
      <c r="B1398" s="29" t="inlineStr">
        <is>
          <t>S09</t>
        </is>
      </c>
      <c r="C1398" t="inlineStr">
        <is>
          <t>PZ-D</t>
        </is>
      </c>
      <c r="D1398" t="n">
        <v>31</v>
      </c>
      <c r="E1398" t="inlineStr">
        <is>
          <t>A0062</t>
        </is>
      </c>
      <c r="F1398" t="inlineStr">
        <is>
          <t>臺北市大安區建國南路1段304巷47號</t>
        </is>
      </c>
      <c r="G1398" t="n">
        <v>25.035455</v>
      </c>
      <c r="H1398" t="n">
        <v>121.535461</v>
      </c>
      <c r="I1398" t="n">
        <v>8</v>
      </c>
      <c r="J1398" t="n">
        <v>3</v>
      </c>
      <c r="K1398" t="n">
        <v>504.6</v>
      </c>
      <c r="L1398" t="inlineStr">
        <is>
          <t>Primary</t>
        </is>
      </c>
    </row>
    <row r="1399">
      <c r="A1399" t="n">
        <v>4</v>
      </c>
      <c r="B1399" s="29" t="inlineStr">
        <is>
          <t>S09</t>
        </is>
      </c>
      <c r="C1399" t="inlineStr">
        <is>
          <t>PZ-D</t>
        </is>
      </c>
      <c r="D1399" t="n">
        <v>1</v>
      </c>
      <c r="E1399" t="inlineStr">
        <is>
          <t>F0284</t>
        </is>
      </c>
      <c r="F1399" t="inlineStr">
        <is>
          <t>新北市新店區僑信路41巷</t>
        </is>
      </c>
      <c r="G1399" t="n">
        <v>24.950289</v>
      </c>
      <c r="H1399" t="n">
        <v>121.499522</v>
      </c>
      <c r="I1399" t="n">
        <v>8</v>
      </c>
      <c r="J1399" t="n">
        <v>27.9</v>
      </c>
      <c r="K1399" t="n">
        <v>35.9</v>
      </c>
      <c r="L1399" t="inlineStr">
        <is>
          <t>Primary</t>
        </is>
      </c>
    </row>
    <row r="1400">
      <c r="A1400" t="n">
        <v>4</v>
      </c>
      <c r="B1400" s="29" t="inlineStr">
        <is>
          <t>S09</t>
        </is>
      </c>
      <c r="C1400" t="inlineStr">
        <is>
          <t>PZ-D</t>
        </is>
      </c>
      <c r="D1400" t="n">
        <v>2</v>
      </c>
      <c r="E1400" t="inlineStr">
        <is>
          <t>F0276</t>
        </is>
      </c>
      <c r="F1400" t="inlineStr">
        <is>
          <t>新北市新店區安忠路99號-附近停車場</t>
        </is>
      </c>
      <c r="G1400" t="n">
        <v>24.954156</v>
      </c>
      <c r="H1400" t="n">
        <v>121.509283</v>
      </c>
      <c r="I1400" t="n">
        <v>8</v>
      </c>
      <c r="J1400" t="n">
        <v>3</v>
      </c>
      <c r="K1400" t="n">
        <v>46.9</v>
      </c>
      <c r="L1400" t="inlineStr">
        <is>
          <t>Primary</t>
        </is>
      </c>
    </row>
    <row r="1401">
      <c r="A1401" t="n">
        <v>4</v>
      </c>
      <c r="B1401" s="29" t="inlineStr">
        <is>
          <t>S09</t>
        </is>
      </c>
      <c r="C1401" t="inlineStr">
        <is>
          <t>PZ-D</t>
        </is>
      </c>
      <c r="D1401" t="n">
        <v>3</v>
      </c>
      <c r="E1401" t="inlineStr">
        <is>
          <t>F0262</t>
        </is>
      </c>
      <c r="F1401" t="inlineStr">
        <is>
          <t>新北市新店區中央一街41號</t>
        </is>
      </c>
      <c r="G1401" t="n">
        <v>24.973925</v>
      </c>
      <c r="H1401" t="n">
        <v>121.527539</v>
      </c>
      <c r="I1401" t="n">
        <v>8</v>
      </c>
      <c r="J1401" t="n">
        <v>6.9</v>
      </c>
      <c r="K1401" t="n">
        <v>61.8</v>
      </c>
      <c r="L1401" t="inlineStr">
        <is>
          <t>Primary</t>
        </is>
      </c>
    </row>
    <row r="1402">
      <c r="A1402" t="n">
        <v>4</v>
      </c>
      <c r="B1402" s="29" t="inlineStr">
        <is>
          <t>S09</t>
        </is>
      </c>
      <c r="C1402" t="inlineStr">
        <is>
          <t>PZ-D</t>
        </is>
      </c>
      <c r="D1402" t="n">
        <v>4</v>
      </c>
      <c r="E1402" t="inlineStr">
        <is>
          <t>F0266</t>
        </is>
      </c>
      <c r="F1402" t="inlineStr">
        <is>
          <t>新北市新店區中央三街85號</t>
        </is>
      </c>
      <c r="G1402" t="n">
        <v>24.975968</v>
      </c>
      <c r="H1402" t="n">
        <v>121.5261056666667</v>
      </c>
      <c r="I1402" t="n">
        <v>48</v>
      </c>
      <c r="J1402" t="n">
        <v>3</v>
      </c>
      <c r="K1402" t="n">
        <v>112.8</v>
      </c>
      <c r="L1402" t="inlineStr">
        <is>
          <t>Primary</t>
        </is>
      </c>
    </row>
    <row r="1403">
      <c r="A1403" t="n">
        <v>4</v>
      </c>
      <c r="B1403" s="29" t="inlineStr">
        <is>
          <t>S09</t>
        </is>
      </c>
      <c r="C1403" t="inlineStr">
        <is>
          <t>PZ-D</t>
        </is>
      </c>
      <c r="D1403" t="n">
        <v>5</v>
      </c>
      <c r="E1403" t="inlineStr">
        <is>
          <t>F0268</t>
        </is>
      </c>
      <c r="F1403" t="inlineStr">
        <is>
          <t>新北市新店區中央六街93號</t>
        </is>
      </c>
      <c r="G1403" t="n">
        <v>24.976909</v>
      </c>
      <c r="H1403" t="n">
        <v>121.526164</v>
      </c>
      <c r="I1403" t="n">
        <v>8</v>
      </c>
      <c r="J1403" t="n">
        <v>3</v>
      </c>
      <c r="K1403" t="n">
        <v>123.8</v>
      </c>
      <c r="L1403" t="inlineStr">
        <is>
          <t>Primary</t>
        </is>
      </c>
    </row>
    <row r="1404">
      <c r="A1404" t="n">
        <v>4</v>
      </c>
      <c r="B1404" s="29" t="inlineStr">
        <is>
          <t>S09</t>
        </is>
      </c>
      <c r="C1404" t="inlineStr">
        <is>
          <t>PZ-D</t>
        </is>
      </c>
      <c r="D1404" t="n">
        <v>6</v>
      </c>
      <c r="E1404" t="inlineStr">
        <is>
          <t>F0264</t>
        </is>
      </c>
      <c r="F1404" t="inlineStr">
        <is>
          <t>新北市新店區中央七街91號</t>
        </is>
      </c>
      <c r="G1404" t="n">
        <v>24.977203</v>
      </c>
      <c r="H1404" t="n">
        <v>121.526428</v>
      </c>
      <c r="I1404" t="n">
        <v>8</v>
      </c>
      <c r="J1404" t="n">
        <v>2</v>
      </c>
      <c r="K1404" t="n">
        <v>133.8</v>
      </c>
      <c r="L1404" t="inlineStr">
        <is>
          <t>Primary</t>
        </is>
      </c>
    </row>
    <row r="1405">
      <c r="A1405" t="n">
        <v>4</v>
      </c>
      <c r="B1405" s="29" t="inlineStr">
        <is>
          <t>S09</t>
        </is>
      </c>
      <c r="C1405" t="inlineStr">
        <is>
          <t>PZ-D</t>
        </is>
      </c>
      <c r="D1405" t="n">
        <v>7</v>
      </c>
      <c r="E1405" t="inlineStr">
        <is>
          <t>F0267</t>
        </is>
      </c>
      <c r="F1405" t="inlineStr">
        <is>
          <t>新北市新店區中央五街111號</t>
        </is>
      </c>
      <c r="G1405" t="n">
        <v>24.976759</v>
      </c>
      <c r="H1405" t="n">
        <v>121.525495</v>
      </c>
      <c r="I1405" t="n">
        <v>8</v>
      </c>
      <c r="J1405" t="n">
        <v>3</v>
      </c>
      <c r="K1405" t="n">
        <v>144.8</v>
      </c>
      <c r="L1405" t="inlineStr">
        <is>
          <t>Primary</t>
        </is>
      </c>
    </row>
    <row r="1406">
      <c r="A1406" t="n">
        <v>4</v>
      </c>
      <c r="B1406" s="29" t="inlineStr">
        <is>
          <t>S09</t>
        </is>
      </c>
      <c r="C1406" t="inlineStr">
        <is>
          <t>PZ-D</t>
        </is>
      </c>
      <c r="D1406" t="n">
        <v>8</v>
      </c>
      <c r="E1406" t="inlineStr">
        <is>
          <t>F0283</t>
        </is>
      </c>
      <c r="F1406" t="inlineStr">
        <is>
          <t>新北市新店區溪園路87號</t>
        </is>
      </c>
      <c r="G1406" t="n">
        <v>24.986802</v>
      </c>
      <c r="H1406" t="n">
        <v>121.529192</v>
      </c>
      <c r="I1406" t="n">
        <v>8</v>
      </c>
      <c r="J1406" t="n">
        <v>3</v>
      </c>
      <c r="K1406" t="n">
        <v>155.8</v>
      </c>
      <c r="L1406" t="inlineStr">
        <is>
          <t>Primary</t>
        </is>
      </c>
    </row>
    <row r="1407">
      <c r="A1407" t="n">
        <v>4</v>
      </c>
      <c r="B1407" s="29" t="inlineStr">
        <is>
          <t>S09</t>
        </is>
      </c>
      <c r="C1407" t="inlineStr">
        <is>
          <t>PZ-D</t>
        </is>
      </c>
      <c r="D1407" t="n">
        <v>9</v>
      </c>
      <c r="E1407" t="inlineStr">
        <is>
          <t>F0270</t>
        </is>
      </c>
      <c r="F1407" t="inlineStr">
        <is>
          <t>新北市新店區中興路３段247巷工地-電聯定位</t>
        </is>
      </c>
      <c r="G1407" t="n">
        <v>24.983425</v>
      </c>
      <c r="H1407" t="n">
        <v>121.542505</v>
      </c>
      <c r="I1407" t="n">
        <v>8</v>
      </c>
      <c r="J1407" t="n">
        <v>3.3</v>
      </c>
      <c r="K1407" t="n">
        <v>167.1</v>
      </c>
      <c r="L1407" t="inlineStr">
        <is>
          <t>Primary</t>
        </is>
      </c>
    </row>
    <row r="1408">
      <c r="A1408" t="n">
        <v>4</v>
      </c>
      <c r="B1408" s="29" t="inlineStr">
        <is>
          <t>S09</t>
        </is>
      </c>
      <c r="C1408" t="inlineStr">
        <is>
          <t>PZ-D</t>
        </is>
      </c>
      <c r="D1408" t="n">
        <v>10</v>
      </c>
      <c r="E1408" t="inlineStr">
        <is>
          <t>A0144</t>
        </is>
      </c>
      <c r="F1408" t="inlineStr">
        <is>
          <t>臺北市文山區景華街171號-8F</t>
        </is>
      </c>
      <c r="G1408" t="n">
        <v>24.9978</v>
      </c>
      <c r="H1408" t="n">
        <v>121.547855</v>
      </c>
      <c r="I1408" t="n">
        <v>19</v>
      </c>
      <c r="J1408" t="n">
        <v>4</v>
      </c>
      <c r="K1408" t="n">
        <v>190.2</v>
      </c>
      <c r="L1408" t="inlineStr">
        <is>
          <t>Primary</t>
        </is>
      </c>
    </row>
    <row r="1409">
      <c r="A1409" t="n">
        <v>4</v>
      </c>
      <c r="B1409" s="29" t="inlineStr">
        <is>
          <t>S09</t>
        </is>
      </c>
      <c r="C1409" t="inlineStr">
        <is>
          <t>PZ-D</t>
        </is>
      </c>
      <c r="D1409" t="n">
        <v>11</v>
      </c>
      <c r="E1409" t="inlineStr">
        <is>
          <t>A0139</t>
        </is>
      </c>
      <c r="F1409" t="inlineStr">
        <is>
          <t>臺北市文山區辛亥路四段21巷-上去左手邊工地</t>
        </is>
      </c>
      <c r="G1409" t="n">
        <v>25.008825</v>
      </c>
      <c r="H1409" t="n">
        <v>121.558825</v>
      </c>
      <c r="I1409" t="n">
        <v>8</v>
      </c>
      <c r="J1409" t="n">
        <v>4</v>
      </c>
      <c r="K1409" t="n">
        <v>202.2</v>
      </c>
      <c r="L1409" t="inlineStr">
        <is>
          <t>Primary</t>
        </is>
      </c>
    </row>
    <row r="1410">
      <c r="A1410" t="n">
        <v>4</v>
      </c>
      <c r="B1410" s="29" t="inlineStr">
        <is>
          <t>S09</t>
        </is>
      </c>
      <c r="C1410" t="inlineStr">
        <is>
          <t>PZ-D</t>
        </is>
      </c>
      <c r="D1410" t="n">
        <v>12</v>
      </c>
      <c r="E1410" t="inlineStr">
        <is>
          <t>A0190</t>
        </is>
      </c>
      <c r="F1410" t="inlineStr">
        <is>
          <t>臺北市信義區吳興街600巷76弄129號</t>
        </is>
      </c>
      <c r="G1410" t="n">
        <v>25.017606</v>
      </c>
      <c r="H1410" t="n">
        <v>121.569381</v>
      </c>
      <c r="I1410" t="n">
        <v>8</v>
      </c>
      <c r="J1410" t="n">
        <v>3.5</v>
      </c>
      <c r="K1410" t="n">
        <v>213.6</v>
      </c>
      <c r="L1410" t="inlineStr">
        <is>
          <t>Primary</t>
        </is>
      </c>
    </row>
    <row r="1411">
      <c r="A1411" t="n">
        <v>4</v>
      </c>
      <c r="B1411" s="29" t="inlineStr">
        <is>
          <t>S09</t>
        </is>
      </c>
      <c r="C1411" t="inlineStr">
        <is>
          <t>PZ-D</t>
        </is>
      </c>
      <c r="D1411" t="n">
        <v>13</v>
      </c>
      <c r="E1411" t="inlineStr">
        <is>
          <t>A0196</t>
        </is>
      </c>
      <c r="F1411" t="inlineStr">
        <is>
          <t>臺北市信義區紫雲街71號</t>
        </is>
      </c>
      <c r="G1411" t="n">
        <v>25.015739</v>
      </c>
      <c r="H1411" t="n">
        <v>121.576286</v>
      </c>
      <c r="I1411" t="n">
        <v>8</v>
      </c>
      <c r="J1411" t="n">
        <v>3</v>
      </c>
      <c r="K1411" t="n">
        <v>224.6</v>
      </c>
      <c r="L1411" t="inlineStr">
        <is>
          <t>Primary</t>
        </is>
      </c>
    </row>
    <row r="1412">
      <c r="A1412" t="n">
        <v>4</v>
      </c>
      <c r="B1412" s="29" t="inlineStr">
        <is>
          <t>S09</t>
        </is>
      </c>
      <c r="C1412" t="inlineStr">
        <is>
          <t>PZ-D</t>
        </is>
      </c>
      <c r="D1412" t="n">
        <v>14</v>
      </c>
      <c r="E1412" t="inlineStr">
        <is>
          <t>A0194</t>
        </is>
      </c>
      <c r="F1412" t="inlineStr">
        <is>
          <t>臺北市信義區青雲街36巷9號</t>
        </is>
      </c>
      <c r="G1412" t="n">
        <v>25.01857</v>
      </c>
      <c r="H1412" t="n">
        <v>121.578442</v>
      </c>
      <c r="I1412" t="n">
        <v>8</v>
      </c>
      <c r="J1412" t="n">
        <v>3</v>
      </c>
      <c r="K1412" t="n">
        <v>235.6</v>
      </c>
      <c r="L1412" t="inlineStr">
        <is>
          <t>Primary</t>
        </is>
      </c>
    </row>
    <row r="1413">
      <c r="A1413" t="n">
        <v>4</v>
      </c>
      <c r="B1413" s="29" t="inlineStr">
        <is>
          <t>S09</t>
        </is>
      </c>
      <c r="C1413" t="inlineStr">
        <is>
          <t>PZ-D</t>
        </is>
      </c>
      <c r="D1413" t="n">
        <v>15</v>
      </c>
      <c r="E1413" t="inlineStr">
        <is>
          <t>A0189</t>
        </is>
      </c>
      <c r="F1413" t="inlineStr">
        <is>
          <t>臺北市信義區吳興街284巷36弄-附座標-銜接#74759</t>
        </is>
      </c>
      <c r="G1413" t="n">
        <v>25.022425</v>
      </c>
      <c r="H1413" t="n">
        <v>121.562603</v>
      </c>
      <c r="I1413" t="n">
        <v>8</v>
      </c>
      <c r="J1413" t="n">
        <v>4</v>
      </c>
      <c r="K1413" t="n">
        <v>247.6</v>
      </c>
      <c r="L1413" t="inlineStr">
        <is>
          <t>Primary</t>
        </is>
      </c>
    </row>
    <row r="1414">
      <c r="A1414" t="n">
        <v>4</v>
      </c>
      <c r="B1414" s="29" t="inlineStr">
        <is>
          <t>S09</t>
        </is>
      </c>
      <c r="C1414" t="inlineStr">
        <is>
          <t>PZ-D</t>
        </is>
      </c>
      <c r="D1414" t="n">
        <v>16</v>
      </c>
      <c r="E1414" t="inlineStr">
        <is>
          <t>A0067</t>
        </is>
      </c>
      <c r="F1414" t="inlineStr">
        <is>
          <t>臺北市大安區敦化南路二段112號旁-成功市場</t>
        </is>
      </c>
      <c r="G1414" t="n">
        <v>25.026856</v>
      </c>
      <c r="H1414" t="n">
        <v>121.547939</v>
      </c>
      <c r="I1414" t="n">
        <v>52</v>
      </c>
      <c r="J1414" t="n">
        <v>3.7</v>
      </c>
      <c r="K1414" t="n">
        <v>303.3</v>
      </c>
      <c r="L1414" t="inlineStr">
        <is>
          <t>Primary</t>
        </is>
      </c>
    </row>
    <row r="1415">
      <c r="A1415" t="n">
        <v>4</v>
      </c>
      <c r="B1415" s="29" t="inlineStr">
        <is>
          <t>S09</t>
        </is>
      </c>
      <c r="C1415" t="inlineStr">
        <is>
          <t>PZ-D</t>
        </is>
      </c>
      <c r="D1415" t="n">
        <v>17</v>
      </c>
      <c r="E1415" t="inlineStr">
        <is>
          <t>A0052</t>
        </is>
      </c>
      <c r="F1415" t="inlineStr">
        <is>
          <t>臺北市大安區大安路一段65號</t>
        </is>
      </c>
      <c r="G1415" t="n">
        <v>25.042483</v>
      </c>
      <c r="H1415" t="n">
        <v>121.54618</v>
      </c>
      <c r="I1415" t="n">
        <v>8</v>
      </c>
      <c r="J1415" t="n">
        <v>4.2</v>
      </c>
      <c r="K1415" t="n">
        <v>315.5</v>
      </c>
      <c r="L1415" t="inlineStr">
        <is>
          <t>Primary</t>
        </is>
      </c>
    </row>
    <row r="1416">
      <c r="A1416" t="n">
        <v>4</v>
      </c>
      <c r="B1416" s="29" t="inlineStr">
        <is>
          <t>S09</t>
        </is>
      </c>
      <c r="C1416" t="inlineStr">
        <is>
          <t>PZ-D</t>
        </is>
      </c>
      <c r="D1416" t="n">
        <v>18</v>
      </c>
      <c r="E1416" t="inlineStr">
        <is>
          <t>A0056</t>
        </is>
      </c>
      <c r="F1416" t="inlineStr">
        <is>
          <t>臺北市大安區市民大道３段252號(安東街交叉口)</t>
        </is>
      </c>
      <c r="G1416" t="n">
        <v>25.044475</v>
      </c>
      <c r="H1416" t="n">
        <v>121.541666</v>
      </c>
      <c r="I1416" t="n">
        <v>8</v>
      </c>
      <c r="J1416" t="n">
        <v>3</v>
      </c>
      <c r="K1416" t="n">
        <v>326.5</v>
      </c>
      <c r="L1416" t="inlineStr">
        <is>
          <t>Primary</t>
        </is>
      </c>
    </row>
    <row r="1417">
      <c r="A1417" t="n">
        <v>4</v>
      </c>
      <c r="B1417" s="29" t="inlineStr">
        <is>
          <t>S09</t>
        </is>
      </c>
      <c r="C1417" t="inlineStr">
        <is>
          <t>PZ-D</t>
        </is>
      </c>
      <c r="D1417" t="n">
        <v>19</v>
      </c>
      <c r="E1417" t="inlineStr">
        <is>
          <t>A0178</t>
        </is>
      </c>
      <c r="F1417" t="inlineStr">
        <is>
          <t>臺北市松山區八德路二段437巷8弄9號</t>
        </is>
      </c>
      <c r="G1417" t="n">
        <v>25.049225</v>
      </c>
      <c r="H1417" t="n">
        <v>121.546672</v>
      </c>
      <c r="I1417" t="n">
        <v>8</v>
      </c>
      <c r="J1417" t="n">
        <v>3</v>
      </c>
      <c r="K1417" t="n">
        <v>337.5</v>
      </c>
      <c r="L1417" t="inlineStr">
        <is>
          <t>Primary</t>
        </is>
      </c>
    </row>
    <row r="1418">
      <c r="A1418" t="n">
        <v>4</v>
      </c>
      <c r="B1418" s="29" t="inlineStr">
        <is>
          <t>S09</t>
        </is>
      </c>
      <c r="C1418" t="inlineStr">
        <is>
          <t>PZ-D</t>
        </is>
      </c>
      <c r="D1418" t="n">
        <v>20</v>
      </c>
      <c r="E1418" t="inlineStr">
        <is>
          <t>A0184</t>
        </is>
      </c>
      <c r="F1418" t="inlineStr">
        <is>
          <t>臺北市松山區南京東路四段53巷11弄8號</t>
        </is>
      </c>
      <c r="G1418" t="n">
        <v>25.05335</v>
      </c>
      <c r="H1418" t="n">
        <v>121.55045</v>
      </c>
      <c r="I1418" t="n">
        <v>8</v>
      </c>
      <c r="J1418" t="n">
        <v>3</v>
      </c>
      <c r="K1418" t="n">
        <v>348.5</v>
      </c>
      <c r="L1418" t="inlineStr">
        <is>
          <t>Primary</t>
        </is>
      </c>
    </row>
    <row r="1419">
      <c r="A1419" t="n">
        <v>4</v>
      </c>
      <c r="B1419" s="29" t="inlineStr">
        <is>
          <t>S09</t>
        </is>
      </c>
      <c r="C1419" t="inlineStr">
        <is>
          <t>PZ-D</t>
        </is>
      </c>
      <c r="D1419" t="n">
        <v>21</v>
      </c>
      <c r="E1419" t="inlineStr">
        <is>
          <t>A0187</t>
        </is>
      </c>
      <c r="F1419" t="inlineStr">
        <is>
          <t>臺北市松山區敦化北路199號-臺北長庚</t>
        </is>
      </c>
      <c r="G1419" t="n">
        <v>25.055439</v>
      </c>
      <c r="H1419" t="n">
        <v>121.549236</v>
      </c>
      <c r="I1419" t="n">
        <v>72</v>
      </c>
      <c r="J1419" t="n">
        <v>3</v>
      </c>
      <c r="K1419" t="n">
        <v>423.5</v>
      </c>
      <c r="L1419" t="inlineStr">
        <is>
          <t>Primary</t>
        </is>
      </c>
    </row>
    <row r="1420">
      <c r="A1420" t="n">
        <v>4</v>
      </c>
      <c r="B1420" s="29" t="inlineStr">
        <is>
          <t>S09</t>
        </is>
      </c>
      <c r="C1420" t="inlineStr">
        <is>
          <t>PZ-D</t>
        </is>
      </c>
      <c r="D1420" t="n">
        <v>22</v>
      </c>
      <c r="E1420" t="inlineStr">
        <is>
          <t>A0186</t>
        </is>
      </c>
      <c r="F1420" t="inlineStr">
        <is>
          <t>臺北市松山區敦化北路199號-台北長庚</t>
        </is>
      </c>
      <c r="G1420" t="n">
        <v>25.055442</v>
      </c>
      <c r="H1420" t="n">
        <v>121.549236</v>
      </c>
      <c r="I1420" t="n">
        <v>8</v>
      </c>
      <c r="J1420" t="n">
        <v>2</v>
      </c>
      <c r="K1420" t="n">
        <v>433.5</v>
      </c>
      <c r="L1420" t="inlineStr">
        <is>
          <t>Primary</t>
        </is>
      </c>
    </row>
    <row r="1421">
      <c r="A1421" t="n">
        <v>4</v>
      </c>
      <c r="B1421" s="29" t="inlineStr">
        <is>
          <t>S09</t>
        </is>
      </c>
      <c r="C1421" t="inlineStr">
        <is>
          <t>PZ-D</t>
        </is>
      </c>
      <c r="D1421" t="n">
        <v>23</v>
      </c>
      <c r="E1421" t="inlineStr">
        <is>
          <t>A0185</t>
        </is>
      </c>
      <c r="F1421" t="inlineStr">
        <is>
          <t>臺北市松山區敦化北路199號</t>
        </is>
      </c>
      <c r="G1421" t="n">
        <v>25.055522</v>
      </c>
      <c r="H1421" t="n">
        <v>121.549236</v>
      </c>
      <c r="I1421" t="n">
        <v>48</v>
      </c>
      <c r="J1421" t="n">
        <v>2</v>
      </c>
      <c r="K1421" t="n">
        <v>483.5</v>
      </c>
      <c r="L1421" t="inlineStr">
        <is>
          <t>Primary</t>
        </is>
      </c>
    </row>
    <row r="1422">
      <c r="A1422" t="n">
        <v>4</v>
      </c>
      <c r="B1422" s="29" t="inlineStr">
        <is>
          <t>S09</t>
        </is>
      </c>
      <c r="C1422" t="inlineStr">
        <is>
          <t>PZ-D</t>
        </is>
      </c>
      <c r="D1422" t="n">
        <v>24</v>
      </c>
      <c r="E1422" t="inlineStr">
        <is>
          <t>A0179</t>
        </is>
      </c>
      <c r="F1422" t="inlineStr">
        <is>
          <t>臺北市松山區民生東路三段111號工地</t>
        </is>
      </c>
      <c r="G1422" t="n">
        <v>25.0578</v>
      </c>
      <c r="H1422" t="n">
        <v>121.545944</v>
      </c>
      <c r="I1422" t="n">
        <v>16</v>
      </c>
      <c r="J1422" t="n">
        <v>3</v>
      </c>
      <c r="K1422" t="n">
        <v>502.5</v>
      </c>
      <c r="L1422" t="inlineStr">
        <is>
          <t>Primary</t>
        </is>
      </c>
    </row>
    <row r="1423">
      <c r="A1423" t="n">
        <v>5</v>
      </c>
      <c r="B1423" s="29" t="inlineStr">
        <is>
          <t>S09</t>
        </is>
      </c>
      <c r="C1423" t="inlineStr">
        <is>
          <t>PZ-D</t>
        </is>
      </c>
      <c r="D1423" t="n">
        <v>1</v>
      </c>
      <c r="E1423" t="inlineStr">
        <is>
          <t>F0018</t>
        </is>
      </c>
      <c r="F1423" t="inlineStr">
        <is>
          <t>新北市八里區廈竹圍25號-臺北港</t>
        </is>
      </c>
      <c r="G1423" t="n">
        <v>25.16144566666667</v>
      </c>
      <c r="H1423" t="n">
        <v>121.380069</v>
      </c>
      <c r="I1423" t="n">
        <v>96</v>
      </c>
      <c r="J1423" t="n">
        <v>32.3</v>
      </c>
      <c r="K1423" t="n">
        <v>128.3</v>
      </c>
      <c r="L1423" t="inlineStr">
        <is>
          <t>Primary</t>
        </is>
      </c>
    </row>
    <row r="1424">
      <c r="A1424" t="n">
        <v>5</v>
      </c>
      <c r="B1424" s="29" t="inlineStr">
        <is>
          <t>S09</t>
        </is>
      </c>
      <c r="C1424" t="inlineStr">
        <is>
          <t>PZ-D</t>
        </is>
      </c>
      <c r="D1424" t="n">
        <v>2</v>
      </c>
      <c r="E1424" t="inlineStr">
        <is>
          <t>A0027</t>
        </is>
      </c>
      <c r="F1424" t="inlineStr">
        <is>
          <t>臺北市士林區延平北路六段116巷66號</t>
        </is>
      </c>
      <c r="G1424" t="n">
        <v>25.090547</v>
      </c>
      <c r="H1424" t="n">
        <v>121.508483</v>
      </c>
      <c r="I1424" t="n">
        <v>8</v>
      </c>
      <c r="J1424" t="n">
        <v>15.1</v>
      </c>
      <c r="K1424" t="n">
        <v>151.4</v>
      </c>
      <c r="L1424" t="inlineStr">
        <is>
          <t>Primary</t>
        </is>
      </c>
    </row>
    <row r="1425">
      <c r="A1425" t="n">
        <v>5</v>
      </c>
      <c r="B1425" s="29" t="inlineStr">
        <is>
          <t>S09</t>
        </is>
      </c>
      <c r="C1425" t="inlineStr">
        <is>
          <t>PZ-D</t>
        </is>
      </c>
      <c r="D1425" t="n">
        <v>3</v>
      </c>
      <c r="E1425" t="inlineStr">
        <is>
          <t>A0033</t>
        </is>
      </c>
      <c r="F1425" t="inlineStr">
        <is>
          <t>臺北市士林區美崙街9號旁</t>
        </is>
      </c>
      <c r="G1425" t="n">
        <v>25.097225</v>
      </c>
      <c r="H1425" t="n">
        <v>121.523398</v>
      </c>
      <c r="I1425" t="n">
        <v>8</v>
      </c>
      <c r="J1425" t="n">
        <v>4</v>
      </c>
      <c r="K1425" t="n">
        <v>163.4</v>
      </c>
      <c r="L1425" t="inlineStr">
        <is>
          <t>Primary</t>
        </is>
      </c>
    </row>
    <row r="1426">
      <c r="A1426" t="n">
        <v>5</v>
      </c>
      <c r="B1426" s="29" t="inlineStr">
        <is>
          <t>S09</t>
        </is>
      </c>
      <c r="C1426" t="inlineStr">
        <is>
          <t>PZ-D</t>
        </is>
      </c>
      <c r="D1426" t="n">
        <v>4</v>
      </c>
      <c r="E1426" t="inlineStr">
        <is>
          <t>A0012</t>
        </is>
      </c>
      <c r="F1426" t="inlineStr">
        <is>
          <t>臺北市士林區中山北路五段635號旁工地</t>
        </is>
      </c>
      <c r="G1426" t="n">
        <v>25.096472</v>
      </c>
      <c r="H1426" t="n">
        <v>121.527473</v>
      </c>
      <c r="I1426" t="n">
        <v>8</v>
      </c>
      <c r="J1426" t="n">
        <v>3</v>
      </c>
      <c r="K1426" t="n">
        <v>174.4</v>
      </c>
      <c r="L1426" t="inlineStr">
        <is>
          <t>Primary</t>
        </is>
      </c>
    </row>
    <row r="1427">
      <c r="A1427" t="n">
        <v>5</v>
      </c>
      <c r="B1427" s="29" t="inlineStr">
        <is>
          <t>S09</t>
        </is>
      </c>
      <c r="C1427" t="inlineStr">
        <is>
          <t>PZ-D</t>
        </is>
      </c>
      <c r="D1427" t="n">
        <v>5</v>
      </c>
      <c r="E1427" t="inlineStr">
        <is>
          <t>A0011</t>
        </is>
      </c>
      <c r="F1427" t="inlineStr">
        <is>
          <t>臺北市士林區中山北路五段633號</t>
        </is>
      </c>
      <c r="G1427" t="n">
        <v>25.096502</v>
      </c>
      <c r="H1427" t="n">
        <v>121.527581</v>
      </c>
      <c r="I1427" t="n">
        <v>16</v>
      </c>
      <c r="J1427" t="n">
        <v>2</v>
      </c>
      <c r="K1427" t="n">
        <v>192.4</v>
      </c>
      <c r="L1427" t="inlineStr">
        <is>
          <t>Primary</t>
        </is>
      </c>
    </row>
    <row r="1428">
      <c r="A1428" t="n">
        <v>5</v>
      </c>
      <c r="B1428" s="29" t="inlineStr">
        <is>
          <t>S09</t>
        </is>
      </c>
      <c r="C1428" t="inlineStr">
        <is>
          <t>PZ-D</t>
        </is>
      </c>
      <c r="D1428" t="n">
        <v>6</v>
      </c>
      <c r="E1428" t="inlineStr">
        <is>
          <t>A0017</t>
        </is>
      </c>
      <c r="F1428" t="inlineStr">
        <is>
          <t>臺北市士林區文林路689號-追加</t>
        </is>
      </c>
      <c r="G1428" t="n">
        <v>25.10135</v>
      </c>
      <c r="H1428" t="n">
        <v>121.521756</v>
      </c>
      <c r="I1428" t="n">
        <v>8</v>
      </c>
      <c r="J1428" t="n">
        <v>3</v>
      </c>
      <c r="K1428" t="n">
        <v>203.4</v>
      </c>
      <c r="L1428" t="inlineStr">
        <is>
          <t>Primary</t>
        </is>
      </c>
    </row>
    <row r="1429">
      <c r="A1429" t="n">
        <v>5</v>
      </c>
      <c r="B1429" s="29" t="inlineStr">
        <is>
          <t>S09</t>
        </is>
      </c>
      <c r="C1429" t="inlineStr">
        <is>
          <t>PZ-D</t>
        </is>
      </c>
      <c r="D1429" t="n">
        <v>7</v>
      </c>
      <c r="E1429" t="inlineStr">
        <is>
          <t>A0029</t>
        </is>
      </c>
      <c r="F1429" t="inlineStr">
        <is>
          <t>臺北市士林區忠誠路1段16巷31號</t>
        </is>
      </c>
      <c r="G1429" t="n">
        <v>25.105989</v>
      </c>
      <c r="H1429" t="n">
        <v>121.526059</v>
      </c>
      <c r="I1429" t="n">
        <v>8</v>
      </c>
      <c r="J1429" t="n">
        <v>3</v>
      </c>
      <c r="K1429" t="n">
        <v>214.4</v>
      </c>
      <c r="L1429" t="inlineStr">
        <is>
          <t>Primary</t>
        </is>
      </c>
    </row>
    <row r="1430">
      <c r="A1430" t="n">
        <v>5</v>
      </c>
      <c r="B1430" s="29" t="inlineStr">
        <is>
          <t>S09</t>
        </is>
      </c>
      <c r="C1430" t="inlineStr">
        <is>
          <t>PZ-D</t>
        </is>
      </c>
      <c r="D1430" t="n">
        <v>8</v>
      </c>
      <c r="E1430" t="inlineStr">
        <is>
          <t>A0002</t>
        </is>
      </c>
      <c r="F1430" t="inlineStr">
        <is>
          <t>臺北市士林區士東路80號旁</t>
        </is>
      </c>
      <c r="G1430" t="n">
        <v>25.112069</v>
      </c>
      <c r="H1430" t="n">
        <v>121.528559</v>
      </c>
      <c r="I1430" t="n">
        <v>8</v>
      </c>
      <c r="J1430" t="n">
        <v>3</v>
      </c>
      <c r="K1430" t="n">
        <v>225.4</v>
      </c>
      <c r="L1430" t="inlineStr">
        <is>
          <t>Primary</t>
        </is>
      </c>
    </row>
    <row r="1431">
      <c r="A1431" t="n">
        <v>5</v>
      </c>
      <c r="B1431" s="29" t="inlineStr">
        <is>
          <t>S09</t>
        </is>
      </c>
      <c r="C1431" t="inlineStr">
        <is>
          <t>PZ-D</t>
        </is>
      </c>
      <c r="D1431" t="n">
        <v>9</v>
      </c>
      <c r="E1431" t="inlineStr">
        <is>
          <t>A0008</t>
        </is>
      </c>
      <c r="F1431" t="inlineStr">
        <is>
          <t>臺北市士林區中山北路6段441巷41號</t>
        </is>
      </c>
      <c r="G1431" t="n">
        <v>25.117014</v>
      </c>
      <c r="H1431" t="n">
        <v>121.525531</v>
      </c>
      <c r="I1431" t="n">
        <v>8</v>
      </c>
      <c r="J1431" t="n">
        <v>3</v>
      </c>
      <c r="K1431" t="n">
        <v>236.4</v>
      </c>
      <c r="L1431" t="inlineStr">
        <is>
          <t>Primary</t>
        </is>
      </c>
    </row>
    <row r="1432">
      <c r="A1432" t="n">
        <v>5</v>
      </c>
      <c r="B1432" s="29" t="inlineStr">
        <is>
          <t>S09</t>
        </is>
      </c>
      <c r="C1432" t="inlineStr">
        <is>
          <t>PZ-D</t>
        </is>
      </c>
      <c r="D1432" t="n">
        <v>10</v>
      </c>
      <c r="E1432" t="inlineStr">
        <is>
          <t>A0010</t>
        </is>
      </c>
      <c r="F1432" t="inlineStr">
        <is>
          <t>臺北市士林區中山北路七段114巷51弄5號</t>
        </is>
      </c>
      <c r="G1432" t="n">
        <v>25.123992</v>
      </c>
      <c r="H1432" t="n">
        <v>121.535141</v>
      </c>
      <c r="I1432" t="n">
        <v>8</v>
      </c>
      <c r="J1432" t="n">
        <v>3</v>
      </c>
      <c r="K1432" t="n">
        <v>247.4</v>
      </c>
      <c r="L1432" t="inlineStr">
        <is>
          <t>Primary</t>
        </is>
      </c>
    </row>
    <row r="1433">
      <c r="A1433" t="n">
        <v>5</v>
      </c>
      <c r="B1433" s="29" t="inlineStr">
        <is>
          <t>S09</t>
        </is>
      </c>
      <c r="C1433" t="inlineStr">
        <is>
          <t>PZ-D</t>
        </is>
      </c>
      <c r="D1433" t="n">
        <v>11</v>
      </c>
      <c r="E1433" t="inlineStr">
        <is>
          <t>A0009</t>
        </is>
      </c>
      <c r="F1433" t="inlineStr">
        <is>
          <t>臺北市士林區中山北路7段190巷95號</t>
        </is>
      </c>
      <c r="G1433" t="n">
        <v>25.126342</v>
      </c>
      <c r="H1433" t="n">
        <v>121.536916</v>
      </c>
      <c r="I1433" t="n">
        <v>8</v>
      </c>
      <c r="J1433" t="n">
        <v>3</v>
      </c>
      <c r="K1433" t="n">
        <v>258.4</v>
      </c>
      <c r="L1433" t="inlineStr">
        <is>
          <t>Primary</t>
        </is>
      </c>
    </row>
    <row r="1434">
      <c r="A1434" t="n">
        <v>5</v>
      </c>
      <c r="B1434" s="29" t="inlineStr">
        <is>
          <t>S09</t>
        </is>
      </c>
      <c r="C1434" t="inlineStr">
        <is>
          <t>PZ-D</t>
        </is>
      </c>
      <c r="D1434" t="n">
        <v>12</v>
      </c>
      <c r="E1434" t="inlineStr">
        <is>
          <t>A0031</t>
        </is>
      </c>
      <c r="F1434" t="inlineStr">
        <is>
          <t>臺北市士林區東山路25巷81弄58-1號</t>
        </is>
      </c>
      <c r="G1434" t="n">
        <v>25.126286</v>
      </c>
      <c r="H1434" t="n">
        <v>121.539714</v>
      </c>
      <c r="I1434" t="n">
        <v>8</v>
      </c>
      <c r="J1434" t="n">
        <v>3</v>
      </c>
      <c r="K1434" t="n">
        <v>269.4</v>
      </c>
      <c r="L1434" t="inlineStr">
        <is>
          <t>Primary</t>
        </is>
      </c>
    </row>
    <row r="1435">
      <c r="A1435" t="n">
        <v>5</v>
      </c>
      <c r="B1435" s="29" t="inlineStr">
        <is>
          <t>S09</t>
        </is>
      </c>
      <c r="C1435" t="inlineStr">
        <is>
          <t>PZ-D</t>
        </is>
      </c>
      <c r="D1435" t="n">
        <v>13</v>
      </c>
      <c r="E1435" t="inlineStr">
        <is>
          <t>A0021</t>
        </is>
      </c>
      <c r="F1435" t="inlineStr">
        <is>
          <t>臺北市士林區仰德大道4段20號</t>
        </is>
      </c>
      <c r="G1435" t="n">
        <v>25.12695</v>
      </c>
      <c r="H1435" t="n">
        <v>121.549061</v>
      </c>
      <c r="I1435" t="n">
        <v>8</v>
      </c>
      <c r="J1435" t="n">
        <v>3</v>
      </c>
      <c r="K1435" t="n">
        <v>280.4</v>
      </c>
      <c r="L1435" t="inlineStr">
        <is>
          <t>Primary</t>
        </is>
      </c>
    </row>
    <row r="1436">
      <c r="A1436" t="n">
        <v>5</v>
      </c>
      <c r="B1436" s="29" t="inlineStr">
        <is>
          <t>S09</t>
        </is>
      </c>
      <c r="C1436" t="inlineStr">
        <is>
          <t>PZ-D</t>
        </is>
      </c>
      <c r="D1436" t="n">
        <v>14</v>
      </c>
      <c r="E1436" t="inlineStr">
        <is>
          <t>A0015</t>
        </is>
      </c>
      <c r="F1436" t="inlineStr">
        <is>
          <t>臺北市士林區中庸一路14巷12弄9號</t>
        </is>
      </c>
      <c r="G1436" t="n">
        <v>25.133383</v>
      </c>
      <c r="H1436" t="n">
        <v>121.548464</v>
      </c>
      <c r="I1436" t="n">
        <v>8</v>
      </c>
      <c r="J1436" t="n">
        <v>3</v>
      </c>
      <c r="K1436" t="n">
        <v>291.4</v>
      </c>
      <c r="L1436" t="inlineStr">
        <is>
          <t>Primary</t>
        </is>
      </c>
    </row>
    <row r="1437">
      <c r="A1437" t="n">
        <v>5</v>
      </c>
      <c r="B1437" s="29" t="inlineStr">
        <is>
          <t>S09</t>
        </is>
      </c>
      <c r="C1437" t="inlineStr">
        <is>
          <t>PZ-D</t>
        </is>
      </c>
      <c r="D1437" t="n">
        <v>15</v>
      </c>
      <c r="E1437" t="inlineStr">
        <is>
          <t>A0032</t>
        </is>
      </c>
      <c r="F1437" t="inlineStr">
        <is>
          <t>臺北市士林區建業路21巷-電聯定位</t>
        </is>
      </c>
      <c r="G1437" t="n">
        <v>25.136064</v>
      </c>
      <c r="H1437" t="n">
        <v>121.548483</v>
      </c>
      <c r="I1437" t="n">
        <v>8</v>
      </c>
      <c r="J1437" t="n">
        <v>3</v>
      </c>
      <c r="K1437" t="n">
        <v>302.4</v>
      </c>
      <c r="L1437" t="inlineStr">
        <is>
          <t>Primary</t>
        </is>
      </c>
    </row>
    <row r="1438">
      <c r="A1438" t="n">
        <v>5</v>
      </c>
      <c r="B1438" s="29" t="inlineStr">
        <is>
          <t>S09</t>
        </is>
      </c>
      <c r="C1438" t="inlineStr">
        <is>
          <t>PZ-D</t>
        </is>
      </c>
      <c r="D1438" t="n">
        <v>16</v>
      </c>
      <c r="E1438" t="inlineStr">
        <is>
          <t>A0037</t>
        </is>
      </c>
      <c r="F1438" t="inlineStr">
        <is>
          <t>臺北市士林區福國路99號-臺北歐洲學校</t>
        </is>
      </c>
      <c r="G1438" t="n">
        <v>25.13718</v>
      </c>
      <c r="H1438" t="n">
        <v>121.550072</v>
      </c>
      <c r="I1438" t="n">
        <v>16</v>
      </c>
      <c r="J1438" t="n">
        <v>3</v>
      </c>
      <c r="K1438" t="n">
        <v>321.4</v>
      </c>
      <c r="L1438" t="inlineStr">
        <is>
          <t>Primary</t>
        </is>
      </c>
    </row>
    <row r="1439">
      <c r="A1439" t="n">
        <v>5</v>
      </c>
      <c r="B1439" s="29" t="inlineStr">
        <is>
          <t>S09</t>
        </is>
      </c>
      <c r="C1439" t="inlineStr">
        <is>
          <t>PZ-D</t>
        </is>
      </c>
      <c r="D1439" t="n">
        <v>17</v>
      </c>
      <c r="E1439" t="inlineStr">
        <is>
          <t>A0005</t>
        </is>
      </c>
      <c r="F1439" t="inlineStr">
        <is>
          <t>臺北市士林區士林區凱旋路53號</t>
        </is>
      </c>
      <c r="G1439" t="n">
        <v>25.13568</v>
      </c>
      <c r="H1439" t="n">
        <v>121.542966</v>
      </c>
      <c r="I1439" t="n">
        <v>8</v>
      </c>
      <c r="J1439" t="n">
        <v>3</v>
      </c>
      <c r="K1439" t="n">
        <v>332.4</v>
      </c>
      <c r="L1439" t="inlineStr">
        <is>
          <t>Primary</t>
        </is>
      </c>
    </row>
    <row r="1440">
      <c r="A1440" t="n">
        <v>5</v>
      </c>
      <c r="B1440" s="29" t="inlineStr">
        <is>
          <t>S09</t>
        </is>
      </c>
      <c r="C1440" t="inlineStr">
        <is>
          <t>PZ-D</t>
        </is>
      </c>
      <c r="D1440" t="n">
        <v>18</v>
      </c>
      <c r="E1440" t="inlineStr">
        <is>
          <t>A0034</t>
        </is>
      </c>
      <c r="F1440" t="inlineStr">
        <is>
          <t>臺北市士林區華岡路32號</t>
        </is>
      </c>
      <c r="G1440" t="n">
        <v>25.138002</v>
      </c>
      <c r="H1440" t="n">
        <v>121.542564</v>
      </c>
      <c r="I1440" t="n">
        <v>8</v>
      </c>
      <c r="J1440" t="n">
        <v>3</v>
      </c>
      <c r="K1440" t="n">
        <v>343.4</v>
      </c>
      <c r="L1440" t="inlineStr">
        <is>
          <t>Primary</t>
        </is>
      </c>
    </row>
    <row r="1441">
      <c r="A1441" t="n">
        <v>5</v>
      </c>
      <c r="B1441" s="29" t="inlineStr">
        <is>
          <t>S09</t>
        </is>
      </c>
      <c r="C1441" t="inlineStr">
        <is>
          <t>PZ-D</t>
        </is>
      </c>
      <c r="D1441" t="n">
        <v>19</v>
      </c>
      <c r="E1441" t="inlineStr">
        <is>
          <t>A0035</t>
        </is>
      </c>
      <c r="F1441" t="inlineStr">
        <is>
          <t>臺北市士林區陽明路一段70號</t>
        </is>
      </c>
      <c r="G1441" t="n">
        <v>25.150728</v>
      </c>
      <c r="H1441" t="n">
        <v>121.549969</v>
      </c>
      <c r="I1441" t="n">
        <v>8</v>
      </c>
      <c r="J1441" t="n">
        <v>3.8</v>
      </c>
      <c r="K1441" t="n">
        <v>355.3</v>
      </c>
      <c r="L1441" t="inlineStr">
        <is>
          <t>Primary</t>
        </is>
      </c>
    </row>
    <row r="1442">
      <c r="A1442" t="n">
        <v>5</v>
      </c>
      <c r="B1442" s="29" t="inlineStr">
        <is>
          <t>S09</t>
        </is>
      </c>
      <c r="C1442" t="inlineStr">
        <is>
          <t>PZ-D</t>
        </is>
      </c>
      <c r="D1442" t="n">
        <v>20</v>
      </c>
      <c r="E1442" t="inlineStr">
        <is>
          <t>A0036</t>
        </is>
      </c>
      <c r="F1442" t="inlineStr">
        <is>
          <t>臺北市士林區新園街1號-草山御賓館</t>
        </is>
      </c>
      <c r="G1442" t="n">
        <v>25.150981</v>
      </c>
      <c r="H1442" t="n">
        <v>121.550681</v>
      </c>
      <c r="I1442" t="n">
        <v>8</v>
      </c>
      <c r="J1442" t="n">
        <v>2</v>
      </c>
      <c r="K1442" t="n">
        <v>365.3</v>
      </c>
      <c r="L1442" t="inlineStr">
        <is>
          <t>Primary</t>
        </is>
      </c>
    </row>
    <row r="1443">
      <c r="A1443" t="n">
        <v>5</v>
      </c>
      <c r="B1443" s="29" t="inlineStr">
        <is>
          <t>S09</t>
        </is>
      </c>
      <c r="C1443" t="inlineStr">
        <is>
          <t>PZ-D</t>
        </is>
      </c>
      <c r="D1443" t="n">
        <v>21</v>
      </c>
      <c r="E1443" t="inlineStr">
        <is>
          <t>A0149</t>
        </is>
      </c>
      <c r="F1443" t="inlineStr">
        <is>
          <t>臺北市北投區(近士林)陽明路二段15號-中山樓</t>
        </is>
      </c>
      <c r="G1443" t="n">
        <v>25.1533445</v>
      </c>
      <c r="H1443" t="n">
        <v>121.551386</v>
      </c>
      <c r="I1443" t="n">
        <v>16</v>
      </c>
      <c r="J1443" t="n">
        <v>3</v>
      </c>
      <c r="K1443" t="n">
        <v>384.3</v>
      </c>
      <c r="L1443" t="inlineStr">
        <is>
          <t>Primary</t>
        </is>
      </c>
    </row>
    <row r="1444">
      <c r="A1444" t="n">
        <v>5</v>
      </c>
      <c r="B1444" s="29" t="inlineStr">
        <is>
          <t>S09</t>
        </is>
      </c>
      <c r="C1444" t="inlineStr">
        <is>
          <t>PZ-D</t>
        </is>
      </c>
      <c r="D1444" t="n">
        <v>22</v>
      </c>
      <c r="E1444" t="inlineStr">
        <is>
          <t>A0148</t>
        </is>
      </c>
      <c r="F1444" t="inlineStr">
        <is>
          <t>臺北市北投區(近士林)陽明路２段15號(中山樓)</t>
        </is>
      </c>
      <c r="G1444" t="n">
        <v>25.153528</v>
      </c>
      <c r="H1444" t="n">
        <v>121.551408</v>
      </c>
      <c r="I1444" t="n">
        <v>8</v>
      </c>
      <c r="J1444" t="n">
        <v>2</v>
      </c>
      <c r="K1444" t="n">
        <v>394.3</v>
      </c>
      <c r="L1444" t="inlineStr">
        <is>
          <t>Primary</t>
        </is>
      </c>
    </row>
    <row r="1445">
      <c r="A1445" t="n">
        <v>5</v>
      </c>
      <c r="B1445" s="29" t="inlineStr">
        <is>
          <t>S09</t>
        </is>
      </c>
      <c r="C1445" t="inlineStr">
        <is>
          <t>PZ-D</t>
        </is>
      </c>
      <c r="D1445" t="n">
        <v>23</v>
      </c>
      <c r="E1445" t="inlineStr">
        <is>
          <t>A0019</t>
        </is>
      </c>
      <c r="F1445" t="inlineStr">
        <is>
          <t>臺北市士林區平菁街93巷29號對面</t>
        </is>
      </c>
      <c r="G1445" t="n">
        <v>25.139083</v>
      </c>
      <c r="H1445" t="n">
        <v>121.579111</v>
      </c>
      <c r="I1445" t="n">
        <v>8</v>
      </c>
      <c r="J1445" t="n">
        <v>7.7</v>
      </c>
      <c r="K1445" t="n">
        <v>410</v>
      </c>
      <c r="L1445" t="inlineStr">
        <is>
          <t>Primary</t>
        </is>
      </c>
    </row>
    <row r="1446">
      <c r="A1446" t="n">
        <v>5</v>
      </c>
      <c r="B1446" s="29" t="inlineStr">
        <is>
          <t>S09</t>
        </is>
      </c>
      <c r="C1446" t="inlineStr">
        <is>
          <t>PZ-D</t>
        </is>
      </c>
      <c r="D1446" t="n">
        <v>24</v>
      </c>
      <c r="E1446" t="inlineStr">
        <is>
          <t>A0018</t>
        </is>
      </c>
      <c r="F1446" t="inlineStr">
        <is>
          <t>臺北市士林區平菁街51號旁</t>
        </is>
      </c>
      <c r="G1446" t="n">
        <v>25.128248</v>
      </c>
      <c r="H1446" t="n">
        <v>121.57052</v>
      </c>
      <c r="I1446" t="n">
        <v>8</v>
      </c>
      <c r="J1446" t="n">
        <v>3.6</v>
      </c>
      <c r="K1446" t="n">
        <v>421.5</v>
      </c>
      <c r="L1446" t="inlineStr">
        <is>
          <t>Primary</t>
        </is>
      </c>
    </row>
    <row r="1447">
      <c r="A1447" t="n">
        <v>5</v>
      </c>
      <c r="B1447" s="29" t="inlineStr">
        <is>
          <t>S09</t>
        </is>
      </c>
      <c r="C1447" t="inlineStr">
        <is>
          <t>PZ-D</t>
        </is>
      </c>
      <c r="D1447" t="n">
        <v>25</v>
      </c>
      <c r="E1447" t="inlineStr">
        <is>
          <t>A0026</t>
        </is>
      </c>
      <c r="F1447" t="inlineStr">
        <is>
          <t>臺北市士林區至善路三段181巷5弄口</t>
        </is>
      </c>
      <c r="G1447" t="n">
        <v>25.122523</v>
      </c>
      <c r="H1447" t="n">
        <v>121.577503</v>
      </c>
      <c r="I1447" t="n">
        <v>8</v>
      </c>
      <c r="J1447" t="n">
        <v>3</v>
      </c>
      <c r="K1447" t="n">
        <v>432.5</v>
      </c>
      <c r="L1447" t="inlineStr">
        <is>
          <t>Primary</t>
        </is>
      </c>
    </row>
    <row r="1448">
      <c r="A1448" t="n">
        <v>5</v>
      </c>
      <c r="B1448" s="29" t="inlineStr">
        <is>
          <t>S09</t>
        </is>
      </c>
      <c r="C1448" t="inlineStr">
        <is>
          <t>PZ-D</t>
        </is>
      </c>
      <c r="D1448" t="n">
        <v>26</v>
      </c>
      <c r="E1448" t="inlineStr">
        <is>
          <t>A0014</t>
        </is>
      </c>
      <c r="F1448" t="inlineStr">
        <is>
          <t>臺北市士林區中社路1段9巷13號</t>
        </is>
      </c>
      <c r="G1448" t="n">
        <v>25.112522</v>
      </c>
      <c r="H1448" t="n">
        <v>121.566286</v>
      </c>
      <c r="I1448" t="n">
        <v>16</v>
      </c>
      <c r="J1448" t="n">
        <v>3.8</v>
      </c>
      <c r="K1448" t="n">
        <v>452.3</v>
      </c>
      <c r="L1448" t="inlineStr">
        <is>
          <t>Primary</t>
        </is>
      </c>
    </row>
    <row r="1449">
      <c r="A1449" t="n">
        <v>5</v>
      </c>
      <c r="B1449" s="29" t="inlineStr">
        <is>
          <t>S09</t>
        </is>
      </c>
      <c r="C1449" t="inlineStr">
        <is>
          <t>PZ-D</t>
        </is>
      </c>
      <c r="D1449" t="n">
        <v>27</v>
      </c>
      <c r="E1449" t="inlineStr">
        <is>
          <t>A0208</t>
        </is>
      </c>
      <c r="F1449" t="inlineStr">
        <is>
          <t>臺北市南港區舊莊街一段215巷口</t>
        </is>
      </c>
      <c r="G1449" t="n">
        <v>25.039091</v>
      </c>
      <c r="H1449" t="n">
        <v>121.622925</v>
      </c>
      <c r="I1449" t="n">
        <v>8</v>
      </c>
      <c r="J1449" t="n">
        <v>23.9</v>
      </c>
      <c r="K1449" t="n">
        <v>484.2</v>
      </c>
      <c r="L1449" t="inlineStr">
        <is>
          <t>Primary</t>
        </is>
      </c>
    </row>
    <row r="1450">
      <c r="A1450" t="n">
        <v>5</v>
      </c>
      <c r="B1450" s="29" t="inlineStr">
        <is>
          <t>S09</t>
        </is>
      </c>
      <c r="C1450" t="inlineStr">
        <is>
          <t>PZ-B</t>
        </is>
      </c>
      <c r="D1450" t="n">
        <v>28</v>
      </c>
      <c r="E1450" t="inlineStr">
        <is>
          <t>H0001</t>
        </is>
      </c>
      <c r="F1450" t="inlineStr">
        <is>
          <t>桃園市八德區(桃園區)介壽路一段82號附近</t>
        </is>
      </c>
      <c r="G1450" t="n">
        <v>24.976617</v>
      </c>
      <c r="H1450" t="n">
        <v>121.302742</v>
      </c>
      <c r="I1450" t="n">
        <v>8</v>
      </c>
      <c r="J1450" t="n">
        <v>33</v>
      </c>
      <c r="K1450" t="n">
        <v>525.2</v>
      </c>
      <c r="L1450" s="21" t="inlineStr">
        <is>
          <t>Support</t>
        </is>
      </c>
    </row>
    <row r="1451">
      <c r="A1451" t="n">
        <v>6</v>
      </c>
      <c r="B1451" s="29" t="inlineStr">
        <is>
          <t>S09</t>
        </is>
      </c>
      <c r="C1451" t="inlineStr">
        <is>
          <t>PZ-D</t>
        </is>
      </c>
      <c r="D1451" t="n">
        <v>1</v>
      </c>
      <c r="E1451" t="inlineStr">
        <is>
          <t>K0065</t>
        </is>
      </c>
      <c r="F1451" t="inlineStr">
        <is>
          <t>苗栗縣頭份市自強路2段215號-京元電子</t>
        </is>
      </c>
      <c r="G1451" t="n">
        <v>24.681256</v>
      </c>
      <c r="H1451" t="n">
        <v>120.89743</v>
      </c>
      <c r="I1451" t="n">
        <v>80</v>
      </c>
      <c r="J1451" t="n">
        <v>41.6</v>
      </c>
      <c r="K1451" t="n">
        <v>121.6</v>
      </c>
      <c r="L1451" t="inlineStr">
        <is>
          <t>Primary</t>
        </is>
      </c>
    </row>
    <row r="1452">
      <c r="A1452" t="n">
        <v>6</v>
      </c>
      <c r="B1452" s="29" t="inlineStr">
        <is>
          <t>S09</t>
        </is>
      </c>
      <c r="C1452" t="inlineStr">
        <is>
          <t>PZ-D</t>
        </is>
      </c>
      <c r="D1452" t="n">
        <v>2</v>
      </c>
      <c r="E1452" t="inlineStr">
        <is>
          <t>K0061</t>
        </is>
      </c>
      <c r="F1452" t="inlineStr">
        <is>
          <t>苗栗縣頭份市民族路571號工地</t>
        </is>
      </c>
      <c r="G1452" t="n">
        <v>24.684664</v>
      </c>
      <c r="H1452" t="n">
        <v>120.890489</v>
      </c>
      <c r="I1452" t="n">
        <v>8</v>
      </c>
      <c r="J1452" t="n">
        <v>3</v>
      </c>
      <c r="K1452" t="n">
        <v>132.6</v>
      </c>
      <c r="L1452" t="inlineStr">
        <is>
          <t>Primary</t>
        </is>
      </c>
    </row>
    <row r="1453">
      <c r="A1453" t="n">
        <v>6</v>
      </c>
      <c r="B1453" s="29" t="inlineStr">
        <is>
          <t>S09</t>
        </is>
      </c>
      <c r="C1453" t="inlineStr">
        <is>
          <t>PZ-D</t>
        </is>
      </c>
      <c r="D1453" t="n">
        <v>3</v>
      </c>
      <c r="E1453" t="inlineStr">
        <is>
          <t>K0063</t>
        </is>
      </c>
      <c r="F1453" t="inlineStr">
        <is>
          <t>苗栗縣頭份市永貞路1段181巷15號</t>
        </is>
      </c>
      <c r="G1453" t="n">
        <v>24.676086</v>
      </c>
      <c r="H1453" t="n">
        <v>120.883555</v>
      </c>
      <c r="I1453" t="n">
        <v>16</v>
      </c>
      <c r="J1453" t="n">
        <v>3</v>
      </c>
      <c r="K1453" t="n">
        <v>151.6</v>
      </c>
      <c r="L1453" t="inlineStr">
        <is>
          <t>Primary</t>
        </is>
      </c>
    </row>
    <row r="1454">
      <c r="A1454" t="n">
        <v>6</v>
      </c>
      <c r="B1454" s="29" t="inlineStr">
        <is>
          <t>S09</t>
        </is>
      </c>
      <c r="C1454" t="inlineStr">
        <is>
          <t>PZ-D</t>
        </is>
      </c>
      <c r="D1454" t="n">
        <v>4</v>
      </c>
      <c r="E1454" t="inlineStr">
        <is>
          <t>K0038</t>
        </is>
      </c>
      <c r="F1454" t="inlineStr">
        <is>
          <t>苗栗縣竹南鎮國泰路-附座標</t>
        </is>
      </c>
      <c r="G1454" t="n">
        <v>24.67496</v>
      </c>
      <c r="H1454" t="n">
        <v>120.8773685</v>
      </c>
      <c r="I1454" t="n">
        <v>16</v>
      </c>
      <c r="J1454" t="n">
        <v>3</v>
      </c>
      <c r="K1454" t="n">
        <v>170.6</v>
      </c>
      <c r="L1454" t="inlineStr">
        <is>
          <t>Primary</t>
        </is>
      </c>
    </row>
    <row r="1455">
      <c r="A1455" t="n">
        <v>6</v>
      </c>
      <c r="B1455" s="29" t="inlineStr">
        <is>
          <t>S09</t>
        </is>
      </c>
      <c r="C1455" t="inlineStr">
        <is>
          <t>PZ-D</t>
        </is>
      </c>
      <c r="D1455" t="n">
        <v>5</v>
      </c>
      <c r="E1455" t="inlineStr">
        <is>
          <t>K0058</t>
        </is>
      </c>
      <c r="F1455" t="inlineStr">
        <is>
          <t>苗栗縣頭份市中華路200號旁邊工地</t>
        </is>
      </c>
      <c r="G1455" t="n">
        <v>24.665678</v>
      </c>
      <c r="H1455" t="n">
        <v>120.881692</v>
      </c>
      <c r="I1455" t="n">
        <v>8</v>
      </c>
      <c r="J1455" t="n">
        <v>3</v>
      </c>
      <c r="K1455" t="n">
        <v>181.6</v>
      </c>
      <c r="L1455" t="inlineStr">
        <is>
          <t>Primary</t>
        </is>
      </c>
    </row>
    <row r="1456">
      <c r="A1456" t="n">
        <v>6</v>
      </c>
      <c r="B1456" s="29" t="inlineStr">
        <is>
          <t>S09</t>
        </is>
      </c>
      <c r="C1456" t="inlineStr">
        <is>
          <t>PZ-D</t>
        </is>
      </c>
      <c r="D1456" t="n">
        <v>6</v>
      </c>
      <c r="E1456" t="inlineStr">
        <is>
          <t>K0064</t>
        </is>
      </c>
      <c r="F1456" t="inlineStr">
        <is>
          <t>苗栗縣頭份市尖豐路557號</t>
        </is>
      </c>
      <c r="G1456" t="n">
        <v>24.64703</v>
      </c>
      <c r="H1456" t="n">
        <v>120.884808</v>
      </c>
      <c r="I1456" t="n">
        <v>16</v>
      </c>
      <c r="J1456" t="n">
        <v>5</v>
      </c>
      <c r="K1456" t="n">
        <v>202.7</v>
      </c>
      <c r="L1456" t="inlineStr">
        <is>
          <t>Primary</t>
        </is>
      </c>
    </row>
    <row r="1457">
      <c r="A1457" t="n">
        <v>6</v>
      </c>
      <c r="B1457" s="29" t="inlineStr">
        <is>
          <t>S09</t>
        </is>
      </c>
      <c r="C1457" t="inlineStr">
        <is>
          <t>PZ-D</t>
        </is>
      </c>
      <c r="D1457" t="n">
        <v>7</v>
      </c>
      <c r="E1457" t="inlineStr">
        <is>
          <t>K0049</t>
        </is>
      </c>
      <c r="F1457" t="inlineStr">
        <is>
          <t>苗栗縣造橋鄉大西二街126巷3號</t>
        </is>
      </c>
      <c r="G1457" t="n">
        <v>24.623542</v>
      </c>
      <c r="H1457" t="n">
        <v>120.894864</v>
      </c>
      <c r="I1457" t="n">
        <v>8</v>
      </c>
      <c r="J1457" t="n">
        <v>6.7</v>
      </c>
      <c r="K1457" t="n">
        <v>217.4</v>
      </c>
      <c r="L1457" t="inlineStr">
        <is>
          <t>Primary</t>
        </is>
      </c>
    </row>
    <row r="1458">
      <c r="A1458" t="n">
        <v>6</v>
      </c>
      <c r="B1458" s="29" t="inlineStr">
        <is>
          <t>S09</t>
        </is>
      </c>
      <c r="C1458" t="inlineStr">
        <is>
          <t>PZ-D</t>
        </is>
      </c>
      <c r="D1458" t="n">
        <v>8</v>
      </c>
      <c r="E1458" t="inlineStr">
        <is>
          <t>K0046</t>
        </is>
      </c>
      <c r="F1458" t="inlineStr">
        <is>
          <t>苗栗縣後龍鎮頂椅七街&amp;新港一路交叉口</t>
        </is>
      </c>
      <c r="G1458" t="n">
        <v>24.615056</v>
      </c>
      <c r="H1458" t="n">
        <v>120.825792</v>
      </c>
      <c r="I1458" t="n">
        <v>8</v>
      </c>
      <c r="J1458" t="n">
        <v>16.9</v>
      </c>
      <c r="K1458" t="n">
        <v>242.3</v>
      </c>
      <c r="L1458" t="inlineStr">
        <is>
          <t>Primary</t>
        </is>
      </c>
    </row>
    <row r="1459">
      <c r="A1459" t="n">
        <v>6</v>
      </c>
      <c r="B1459" s="29" t="inlineStr">
        <is>
          <t>S09</t>
        </is>
      </c>
      <c r="C1459" t="inlineStr">
        <is>
          <t>PZ-D</t>
        </is>
      </c>
      <c r="D1459" t="n">
        <v>9</v>
      </c>
      <c r="E1459" t="inlineStr">
        <is>
          <t>K0002</t>
        </is>
      </c>
      <c r="F1459" t="inlineStr">
        <is>
          <t>苗栗縣公館鄉玉泉村玉泉34號</t>
        </is>
      </c>
      <c r="G1459" t="n">
        <v>24.508794</v>
      </c>
      <c r="H1459" t="n">
        <v>120.824556</v>
      </c>
      <c r="I1459" t="n">
        <v>16</v>
      </c>
      <c r="J1459" t="n">
        <v>11.8</v>
      </c>
      <c r="K1459" t="n">
        <v>270.1</v>
      </c>
      <c r="L1459" t="inlineStr">
        <is>
          <t>Primary</t>
        </is>
      </c>
    </row>
    <row r="1460">
      <c r="A1460" t="n">
        <v>6</v>
      </c>
      <c r="B1460" s="29" t="inlineStr">
        <is>
          <t>S09</t>
        </is>
      </c>
      <c r="C1460" t="inlineStr">
        <is>
          <t>PZ-C</t>
        </is>
      </c>
      <c r="D1460" t="n">
        <v>10</v>
      </c>
      <c r="E1460" t="inlineStr">
        <is>
          <t>J0113</t>
        </is>
      </c>
      <c r="F1460" t="inlineStr">
        <is>
          <t>新竹縣峨眉鄉竹43鄉道15號-峨嵋高壓變電所</t>
        </is>
      </c>
      <c r="G1460" t="n">
        <v>24.6922</v>
      </c>
      <c r="H1460" t="n">
        <v>120.9867</v>
      </c>
      <c r="I1460" t="n">
        <v>8</v>
      </c>
      <c r="J1460" t="n">
        <v>26.2</v>
      </c>
      <c r="K1460" t="n">
        <v>304.3</v>
      </c>
      <c r="L1460" s="21" t="inlineStr">
        <is>
          <t>Support</t>
        </is>
      </c>
    </row>
    <row r="1461">
      <c r="A1461" t="n">
        <v>6</v>
      </c>
      <c r="B1461" s="29" t="inlineStr">
        <is>
          <t>S09</t>
        </is>
      </c>
      <c r="C1461" t="inlineStr">
        <is>
          <t>PZ-C</t>
        </is>
      </c>
      <c r="D1461" t="n">
        <v>11</v>
      </c>
      <c r="E1461" t="inlineStr">
        <is>
          <t>J0208</t>
        </is>
      </c>
      <c r="F1461" t="inlineStr">
        <is>
          <t>新竹縣寶山鄉三峰路一段269號</t>
        </is>
      </c>
      <c r="G1461" t="n">
        <v>24.726731</v>
      </c>
      <c r="H1461" t="n">
        <v>120.998911</v>
      </c>
      <c r="I1461" t="n">
        <v>8</v>
      </c>
      <c r="J1461" t="n">
        <v>9.699999999999999</v>
      </c>
      <c r="K1461" t="n">
        <v>322</v>
      </c>
      <c r="L1461" s="21" t="inlineStr">
        <is>
          <t>Support</t>
        </is>
      </c>
    </row>
    <row r="1462">
      <c r="A1462" t="n">
        <v>6</v>
      </c>
      <c r="B1462" s="29" t="inlineStr">
        <is>
          <t>S09</t>
        </is>
      </c>
      <c r="C1462" t="inlineStr">
        <is>
          <t>PZ-C</t>
        </is>
      </c>
      <c r="D1462" t="n">
        <v>12</v>
      </c>
      <c r="E1462" t="inlineStr">
        <is>
          <t>J0231</t>
        </is>
      </c>
      <c r="F1462" t="inlineStr">
        <is>
          <t>新竹縣寶山鄉寶峰路225號旁</t>
        </is>
      </c>
      <c r="G1462" t="n">
        <v>24.740558</v>
      </c>
      <c r="H1462" t="n">
        <v>121.005358</v>
      </c>
      <c r="I1462" t="n">
        <v>8</v>
      </c>
      <c r="J1462" t="n">
        <v>4</v>
      </c>
      <c r="K1462" t="n">
        <v>334</v>
      </c>
      <c r="L1462" s="21" t="inlineStr">
        <is>
          <t>Support</t>
        </is>
      </c>
    </row>
    <row r="1463">
      <c r="A1463" t="n">
        <v>6</v>
      </c>
      <c r="B1463" s="29" t="inlineStr">
        <is>
          <t>S09</t>
        </is>
      </c>
      <c r="C1463" t="inlineStr">
        <is>
          <t>PZ-C</t>
        </is>
      </c>
      <c r="D1463" t="n">
        <v>13</v>
      </c>
      <c r="E1463" t="inlineStr">
        <is>
          <t>J0230</t>
        </is>
      </c>
      <c r="F1463" t="inlineStr">
        <is>
          <t>新竹縣寶山鄉寶山十街13號隔壁隔壁</t>
        </is>
      </c>
      <c r="G1463" t="n">
        <v>24.750481</v>
      </c>
      <c r="H1463" t="n">
        <v>121.017431</v>
      </c>
      <c r="I1463" t="n">
        <v>8</v>
      </c>
      <c r="J1463" t="n">
        <v>3.9</v>
      </c>
      <c r="K1463" t="n">
        <v>345.9</v>
      </c>
      <c r="L1463" s="21" t="inlineStr">
        <is>
          <t>Support</t>
        </is>
      </c>
    </row>
    <row r="1464">
      <c r="A1464" t="n">
        <v>1</v>
      </c>
      <c r="B1464" s="30" t="inlineStr">
        <is>
          <t>S10</t>
        </is>
      </c>
      <c r="C1464" t="inlineStr">
        <is>
          <t>PZ-D</t>
        </is>
      </c>
      <c r="D1464" t="n">
        <v>1</v>
      </c>
      <c r="E1464" t="inlineStr">
        <is>
          <t>F0331</t>
        </is>
      </c>
      <c r="F1464" t="inlineStr">
        <is>
          <t>新北市鶯歌區鳳七路280號旁-二期</t>
        </is>
      </c>
      <c r="G1464" t="n">
        <v>24.972881</v>
      </c>
      <c r="H1464" t="n">
        <v>121.3288</v>
      </c>
      <c r="I1464" t="n">
        <v>8</v>
      </c>
      <c r="J1464" t="n">
        <v>12.6</v>
      </c>
      <c r="K1464" t="n">
        <v>20.6</v>
      </c>
      <c r="L1464" t="inlineStr">
        <is>
          <t>Primary</t>
        </is>
      </c>
    </row>
    <row r="1465">
      <c r="A1465" t="n">
        <v>1</v>
      </c>
      <c r="B1465" s="30" t="inlineStr">
        <is>
          <t>S10</t>
        </is>
      </c>
      <c r="C1465" t="inlineStr">
        <is>
          <t>PZ-D</t>
        </is>
      </c>
      <c r="D1465" t="n">
        <v>2</v>
      </c>
      <c r="E1465" t="inlineStr">
        <is>
          <t>F0335</t>
        </is>
      </c>
      <c r="F1465" t="inlineStr">
        <is>
          <t>新北市鶯歌區鳳福路8號對面</t>
        </is>
      </c>
      <c r="G1465" t="n">
        <v>24.973775</v>
      </c>
      <c r="H1465" t="n">
        <v>121.328411</v>
      </c>
      <c r="I1465" t="n">
        <v>16</v>
      </c>
      <c r="J1465" t="n">
        <v>3</v>
      </c>
      <c r="K1465" t="n">
        <v>39.6</v>
      </c>
      <c r="L1465" t="inlineStr">
        <is>
          <t>Primary</t>
        </is>
      </c>
    </row>
    <row r="1466">
      <c r="A1466" t="n">
        <v>1</v>
      </c>
      <c r="B1466" s="30" t="inlineStr">
        <is>
          <t>S10</t>
        </is>
      </c>
      <c r="C1466" t="inlineStr">
        <is>
          <t>PZ-D</t>
        </is>
      </c>
      <c r="D1466" t="n">
        <v>3</v>
      </c>
      <c r="E1466" t="inlineStr">
        <is>
          <t>F0337</t>
        </is>
      </c>
      <c r="F1466" t="inlineStr">
        <is>
          <t>新北市鶯歌區龍三路&amp;鳳七路交叉口</t>
        </is>
      </c>
      <c r="G1466" t="n">
        <v>24.971724</v>
      </c>
      <c r="H1466" t="n">
        <v>121.3298355</v>
      </c>
      <c r="I1466" t="n">
        <v>32</v>
      </c>
      <c r="J1466" t="n">
        <v>3</v>
      </c>
      <c r="K1466" t="n">
        <v>74.59999999999999</v>
      </c>
      <c r="L1466" t="inlineStr">
        <is>
          <t>Primary</t>
        </is>
      </c>
    </row>
    <row r="1467">
      <c r="A1467" t="n">
        <v>1</v>
      </c>
      <c r="B1467" s="30" t="inlineStr">
        <is>
          <t>S10</t>
        </is>
      </c>
      <c r="C1467" t="inlineStr">
        <is>
          <t>PZ-D</t>
        </is>
      </c>
      <c r="D1467" t="n">
        <v>4</v>
      </c>
      <c r="E1467" t="inlineStr">
        <is>
          <t>F0333</t>
        </is>
      </c>
      <c r="F1467" t="inlineStr">
        <is>
          <t>新北市鶯歌區鳳福路&amp;鳳鳴路交叉口-堆置場</t>
        </is>
      </c>
      <c r="G1467" t="n">
        <v>24.974064</v>
      </c>
      <c r="H1467" t="n">
        <v>121.33142</v>
      </c>
      <c r="I1467" t="n">
        <v>8</v>
      </c>
      <c r="J1467" t="n">
        <v>3</v>
      </c>
      <c r="K1467" t="n">
        <v>85.59999999999999</v>
      </c>
      <c r="L1467" t="inlineStr">
        <is>
          <t>Primary</t>
        </is>
      </c>
    </row>
    <row r="1468">
      <c r="A1468" t="n">
        <v>1</v>
      </c>
      <c r="B1468" s="30" t="inlineStr">
        <is>
          <t>S10</t>
        </is>
      </c>
      <c r="C1468" t="inlineStr">
        <is>
          <t>PZ-D</t>
        </is>
      </c>
      <c r="D1468" t="n">
        <v>5</v>
      </c>
      <c r="E1468" t="inlineStr">
        <is>
          <t>F0334</t>
        </is>
      </c>
      <c r="F1468" t="inlineStr">
        <is>
          <t>新北市鶯歌區鳳福路177號旁工地</t>
        </is>
      </c>
      <c r="G1468" t="n">
        <v>24.976136</v>
      </c>
      <c r="H1468" t="n">
        <v>121.33077</v>
      </c>
      <c r="I1468" t="n">
        <v>8</v>
      </c>
      <c r="J1468" t="n">
        <v>3</v>
      </c>
      <c r="K1468" t="n">
        <v>96.59999999999999</v>
      </c>
      <c r="L1468" t="inlineStr">
        <is>
          <t>Primary</t>
        </is>
      </c>
    </row>
    <row r="1469">
      <c r="A1469" t="n">
        <v>1</v>
      </c>
      <c r="B1469" s="30" t="inlineStr">
        <is>
          <t>S10</t>
        </is>
      </c>
      <c r="C1469" t="inlineStr">
        <is>
          <t>PZ-D</t>
        </is>
      </c>
      <c r="D1469" t="n">
        <v>6</v>
      </c>
      <c r="E1469" t="inlineStr">
        <is>
          <t>F0332</t>
        </is>
      </c>
      <c r="F1469" t="inlineStr">
        <is>
          <t>新北市鶯歌區鳳三路&amp;龍三路交叉口-工務所</t>
        </is>
      </c>
      <c r="G1469" t="n">
        <v>24.973223</v>
      </c>
      <c r="H1469" t="n">
        <v>121.334608</v>
      </c>
      <c r="I1469" t="n">
        <v>16</v>
      </c>
      <c r="J1469" t="n">
        <v>3</v>
      </c>
      <c r="K1469" t="n">
        <v>115.6</v>
      </c>
      <c r="L1469" t="inlineStr">
        <is>
          <t>Primary</t>
        </is>
      </c>
    </row>
    <row r="1470">
      <c r="A1470" t="n">
        <v>1</v>
      </c>
      <c r="B1470" s="30" t="inlineStr">
        <is>
          <t>S10</t>
        </is>
      </c>
      <c r="C1470" t="inlineStr">
        <is>
          <t>PZ-D</t>
        </is>
      </c>
      <c r="D1470" t="n">
        <v>7</v>
      </c>
      <c r="E1470" t="inlineStr">
        <is>
          <t>F0338</t>
        </is>
      </c>
      <c r="F1470" t="inlineStr">
        <is>
          <t>新北市鶯歌區龍五路280號旁</t>
        </is>
      </c>
      <c r="G1470" t="n">
        <v>24.972928</v>
      </c>
      <c r="H1470" t="n">
        <v>121.334914</v>
      </c>
      <c r="I1470" t="n">
        <v>8</v>
      </c>
      <c r="J1470" t="n">
        <v>2</v>
      </c>
      <c r="K1470" t="n">
        <v>125.6</v>
      </c>
      <c r="L1470" t="inlineStr">
        <is>
          <t>Primary</t>
        </is>
      </c>
    </row>
    <row r="1471">
      <c r="A1471" t="n">
        <v>1</v>
      </c>
      <c r="B1471" s="30" t="inlineStr">
        <is>
          <t>S10</t>
        </is>
      </c>
      <c r="C1471" t="inlineStr">
        <is>
          <t>PZ-D</t>
        </is>
      </c>
      <c r="D1471" t="n">
        <v>8</v>
      </c>
      <c r="E1471" t="inlineStr">
        <is>
          <t>F0330</t>
        </is>
      </c>
      <c r="F1471" t="inlineStr">
        <is>
          <t>新北市鶯歌區鳳七路280號旁-一期</t>
        </is>
      </c>
      <c r="G1471" t="n">
        <v>24.970925</v>
      </c>
      <c r="H1471" t="n">
        <v>121.335094</v>
      </c>
      <c r="I1471" t="n">
        <v>8</v>
      </c>
      <c r="J1471" t="n">
        <v>3</v>
      </c>
      <c r="K1471" t="n">
        <v>136.6</v>
      </c>
      <c r="L1471" t="inlineStr">
        <is>
          <t>Primary</t>
        </is>
      </c>
    </row>
    <row r="1472">
      <c r="A1472" t="n">
        <v>1</v>
      </c>
      <c r="B1472" s="30" t="inlineStr">
        <is>
          <t>S10</t>
        </is>
      </c>
      <c r="C1472" t="inlineStr">
        <is>
          <t>PZ-D</t>
        </is>
      </c>
      <c r="D1472" t="n">
        <v>9</v>
      </c>
      <c r="E1472" t="inlineStr">
        <is>
          <t>F0336</t>
        </is>
      </c>
      <c r="F1472" t="inlineStr">
        <is>
          <t>新北市鶯歌區鳳鳴路130號旁</t>
        </is>
      </c>
      <c r="G1472" t="n">
        <v>24.966194</v>
      </c>
      <c r="H1472" t="n">
        <v>121.334444</v>
      </c>
      <c r="I1472" t="n">
        <v>8</v>
      </c>
      <c r="J1472" t="n">
        <v>3</v>
      </c>
      <c r="K1472" t="n">
        <v>147.6</v>
      </c>
      <c r="L1472" t="inlineStr">
        <is>
          <t>Primary</t>
        </is>
      </c>
    </row>
    <row r="1473">
      <c r="A1473" t="n">
        <v>1</v>
      </c>
      <c r="B1473" s="30" t="inlineStr">
        <is>
          <t>S10</t>
        </is>
      </c>
      <c r="C1473" t="inlineStr">
        <is>
          <t>PZ-D</t>
        </is>
      </c>
      <c r="D1473" t="n">
        <v>10</v>
      </c>
      <c r="E1473" t="inlineStr">
        <is>
          <t>F0311</t>
        </is>
      </c>
      <c r="F1473" t="inlineStr">
        <is>
          <t>新北市樹林區(鶯歌區)柑園街二段177號</t>
        </is>
      </c>
      <c r="G1473" t="n">
        <v>24.952967</v>
      </c>
      <c r="H1473" t="n">
        <v>121.380153</v>
      </c>
      <c r="I1473" t="n">
        <v>8</v>
      </c>
      <c r="J1473" t="n">
        <v>11.6</v>
      </c>
      <c r="K1473" t="n">
        <v>167.2</v>
      </c>
      <c r="L1473" t="inlineStr">
        <is>
          <t>Primary</t>
        </is>
      </c>
    </row>
    <row r="1474">
      <c r="A1474" t="n">
        <v>1</v>
      </c>
      <c r="B1474" s="30" t="inlineStr">
        <is>
          <t>S10</t>
        </is>
      </c>
      <c r="C1474" t="inlineStr">
        <is>
          <t>PZ-D</t>
        </is>
      </c>
      <c r="D1474" t="n">
        <v>11</v>
      </c>
      <c r="E1474" t="inlineStr">
        <is>
          <t>F0050</t>
        </is>
      </c>
      <c r="F1474" t="inlineStr">
        <is>
          <t>新北市三峽區文化路129號</t>
        </is>
      </c>
      <c r="G1474" t="n">
        <v>24.936094</v>
      </c>
      <c r="H1474" t="n">
        <v>121.369914</v>
      </c>
      <c r="I1474" t="n">
        <v>8</v>
      </c>
      <c r="J1474" t="n">
        <v>5.1</v>
      </c>
      <c r="K1474" t="n">
        <v>180.4</v>
      </c>
      <c r="L1474" t="inlineStr">
        <is>
          <t>Primary</t>
        </is>
      </c>
    </row>
    <row r="1475">
      <c r="A1475" t="n">
        <v>1</v>
      </c>
      <c r="B1475" s="30" t="inlineStr">
        <is>
          <t>S10</t>
        </is>
      </c>
      <c r="C1475" t="inlineStr">
        <is>
          <t>PZ-D</t>
        </is>
      </c>
      <c r="D1475" t="n">
        <v>12</v>
      </c>
      <c r="E1475" t="inlineStr">
        <is>
          <t>F0046</t>
        </is>
      </c>
      <c r="F1475" t="inlineStr">
        <is>
          <t>新北市三峽區大同路295號-追加</t>
        </is>
      </c>
      <c r="G1475" t="n">
        <v>24.924417</v>
      </c>
      <c r="H1475" t="n">
        <v>121.364133</v>
      </c>
      <c r="I1475" t="n">
        <v>8</v>
      </c>
      <c r="J1475" t="n">
        <v>3.4</v>
      </c>
      <c r="K1475" t="n">
        <v>191.8</v>
      </c>
      <c r="L1475" t="inlineStr">
        <is>
          <t>Primary</t>
        </is>
      </c>
    </row>
    <row r="1476">
      <c r="A1476" t="n">
        <v>1</v>
      </c>
      <c r="B1476" s="30" t="inlineStr">
        <is>
          <t>S10</t>
        </is>
      </c>
      <c r="C1476" t="inlineStr">
        <is>
          <t>PZ-D</t>
        </is>
      </c>
      <c r="D1476" t="n">
        <v>13</v>
      </c>
      <c r="E1476" t="inlineStr">
        <is>
          <t>F0057</t>
        </is>
      </c>
      <c r="F1476" t="inlineStr">
        <is>
          <t>新北市三峽區嘉添路109-2號1樓-7-ELEVEN嘉添門市附近</t>
        </is>
      </c>
      <c r="G1476" t="n">
        <v>24.911244</v>
      </c>
      <c r="H1476" t="n">
        <v>121.369842</v>
      </c>
      <c r="I1476" t="n">
        <v>8</v>
      </c>
      <c r="J1476" t="n">
        <v>3.8</v>
      </c>
      <c r="K1476" t="n">
        <v>203.6</v>
      </c>
      <c r="L1476" t="inlineStr">
        <is>
          <t>Primary</t>
        </is>
      </c>
    </row>
    <row r="1477">
      <c r="A1477" t="n">
        <v>1</v>
      </c>
      <c r="B1477" s="30" t="inlineStr">
        <is>
          <t>S10</t>
        </is>
      </c>
      <c r="C1477" t="inlineStr">
        <is>
          <t>PZ-D</t>
        </is>
      </c>
      <c r="D1477" t="n">
        <v>14</v>
      </c>
      <c r="E1477" t="inlineStr">
        <is>
          <t>F0047</t>
        </is>
      </c>
      <c r="F1477" t="inlineStr">
        <is>
          <t>新北市三峽區大埔路106號</t>
        </is>
      </c>
      <c r="G1477" t="n">
        <v>24.906636</v>
      </c>
      <c r="H1477" t="n">
        <v>121.366531</v>
      </c>
      <c r="I1477" t="n">
        <v>8</v>
      </c>
      <c r="J1477" t="n">
        <v>3</v>
      </c>
      <c r="K1477" t="n">
        <v>214.6</v>
      </c>
      <c r="L1477" t="inlineStr">
        <is>
          <t>Primary</t>
        </is>
      </c>
    </row>
    <row r="1478">
      <c r="A1478" t="n">
        <v>1</v>
      </c>
      <c r="B1478" s="30" t="inlineStr">
        <is>
          <t>S10</t>
        </is>
      </c>
      <c r="C1478" t="inlineStr">
        <is>
          <t>PZ-D</t>
        </is>
      </c>
      <c r="D1478" t="n">
        <v>15</v>
      </c>
      <c r="E1478" t="inlineStr">
        <is>
          <t>F0317</t>
        </is>
      </c>
      <c r="F1478" t="inlineStr">
        <is>
          <t>新北市樹林區西圳街一段118巷3號-附地標</t>
        </is>
      </c>
      <c r="G1478" t="n">
        <v>24.965083</v>
      </c>
      <c r="H1478" t="n">
        <v>121.399644</v>
      </c>
      <c r="I1478" t="n">
        <v>8</v>
      </c>
      <c r="J1478" t="n">
        <v>17.5</v>
      </c>
      <c r="K1478" t="n">
        <v>240.1</v>
      </c>
      <c r="L1478" t="inlineStr">
        <is>
          <t>Primary</t>
        </is>
      </c>
    </row>
    <row r="1479">
      <c r="A1479" t="n">
        <v>1</v>
      </c>
      <c r="B1479" s="30" t="inlineStr">
        <is>
          <t>S10</t>
        </is>
      </c>
      <c r="C1479" t="inlineStr">
        <is>
          <t>PZ-D</t>
        </is>
      </c>
      <c r="D1479" t="n">
        <v>16</v>
      </c>
      <c r="E1479" t="inlineStr">
        <is>
          <t>F0318</t>
        </is>
      </c>
      <c r="F1479" t="inlineStr">
        <is>
          <t>新北市樹林區味王街87-1號</t>
        </is>
      </c>
      <c r="G1479" t="n">
        <v>24.972456</v>
      </c>
      <c r="H1479" t="n">
        <v>121.410781</v>
      </c>
      <c r="I1479" t="n">
        <v>8</v>
      </c>
      <c r="J1479" t="n">
        <v>3.3</v>
      </c>
      <c r="K1479" t="n">
        <v>251.5</v>
      </c>
      <c r="L1479" t="inlineStr">
        <is>
          <t>Primary</t>
        </is>
      </c>
    </row>
    <row r="1480">
      <c r="A1480" t="n">
        <v>1</v>
      </c>
      <c r="B1480" s="30" t="inlineStr">
        <is>
          <t>S10</t>
        </is>
      </c>
      <c r="C1480" t="inlineStr">
        <is>
          <t>PZ-D</t>
        </is>
      </c>
      <c r="D1480" t="n">
        <v>17</v>
      </c>
      <c r="E1480" t="inlineStr">
        <is>
          <t>F0319</t>
        </is>
      </c>
      <c r="F1480" t="inlineStr">
        <is>
          <t>新北市樹林區東豐街50-6號對面-報廢場</t>
        </is>
      </c>
      <c r="G1480" t="n">
        <v>24.972681</v>
      </c>
      <c r="H1480" t="n">
        <v>121.410708</v>
      </c>
      <c r="I1480" t="n">
        <v>8</v>
      </c>
      <c r="J1480" t="n">
        <v>2</v>
      </c>
      <c r="K1480" t="n">
        <v>261.5</v>
      </c>
      <c r="L1480" t="inlineStr">
        <is>
          <t>Primary</t>
        </is>
      </c>
    </row>
    <row r="1481">
      <c r="A1481" t="n">
        <v>1</v>
      </c>
      <c r="B1481" s="30" t="inlineStr">
        <is>
          <t>S10</t>
        </is>
      </c>
      <c r="C1481" t="inlineStr">
        <is>
          <t>PZ-D</t>
        </is>
      </c>
      <c r="D1481" t="n">
        <v>18</v>
      </c>
      <c r="E1481" t="inlineStr">
        <is>
          <t>F0312</t>
        </is>
      </c>
      <c r="F1481" t="inlineStr">
        <is>
          <t>新北市樹林區八德街210號旁</t>
        </is>
      </c>
      <c r="G1481" t="n">
        <v>24.973178</v>
      </c>
      <c r="H1481" t="n">
        <v>121.417673</v>
      </c>
      <c r="I1481" t="n">
        <v>8</v>
      </c>
      <c r="J1481" t="n">
        <v>3</v>
      </c>
      <c r="K1481" t="n">
        <v>272.5</v>
      </c>
      <c r="L1481" t="inlineStr">
        <is>
          <t>Primary</t>
        </is>
      </c>
    </row>
    <row r="1482">
      <c r="A1482" t="n">
        <v>1</v>
      </c>
      <c r="B1482" s="30" t="inlineStr">
        <is>
          <t>S10</t>
        </is>
      </c>
      <c r="C1482" t="inlineStr">
        <is>
          <t>PZ-D</t>
        </is>
      </c>
      <c r="D1482" t="n">
        <v>19</v>
      </c>
      <c r="E1482" t="inlineStr">
        <is>
          <t>F0315</t>
        </is>
      </c>
      <c r="F1482" t="inlineStr">
        <is>
          <t>新北市樹林區大安路537巷7弄3號</t>
        </is>
      </c>
      <c r="G1482" t="n">
        <v>24.984386</v>
      </c>
      <c r="H1482" t="n">
        <v>121.413328</v>
      </c>
      <c r="I1482" t="n">
        <v>8</v>
      </c>
      <c r="J1482" t="n">
        <v>3.2</v>
      </c>
      <c r="K1482" t="n">
        <v>283.6</v>
      </c>
      <c r="L1482" t="inlineStr">
        <is>
          <t>Primary</t>
        </is>
      </c>
    </row>
    <row r="1483">
      <c r="A1483" t="n">
        <v>1</v>
      </c>
      <c r="B1483" s="30" t="inlineStr">
        <is>
          <t>S10</t>
        </is>
      </c>
      <c r="C1483" t="inlineStr">
        <is>
          <t>PZ-D</t>
        </is>
      </c>
      <c r="D1483" t="n">
        <v>20</v>
      </c>
      <c r="E1483" t="inlineStr">
        <is>
          <t>F0320</t>
        </is>
      </c>
      <c r="F1483" t="inlineStr">
        <is>
          <t>新北市樹林區樹新路50巷巷底</t>
        </is>
      </c>
      <c r="G1483" t="n">
        <v>24.996227</v>
      </c>
      <c r="H1483" t="n">
        <v>121.42962</v>
      </c>
      <c r="I1483" t="n">
        <v>8</v>
      </c>
      <c r="J1483" t="n">
        <v>5.1</v>
      </c>
      <c r="K1483" t="n">
        <v>296.7</v>
      </c>
      <c r="L1483" t="inlineStr">
        <is>
          <t>Primary</t>
        </is>
      </c>
    </row>
    <row r="1484">
      <c r="A1484" t="n">
        <v>1</v>
      </c>
      <c r="B1484" s="30" t="inlineStr">
        <is>
          <t>S10</t>
        </is>
      </c>
      <c r="C1484" t="inlineStr">
        <is>
          <t>PZ-D</t>
        </is>
      </c>
      <c r="D1484" t="n">
        <v>21</v>
      </c>
      <c r="E1484" t="inlineStr">
        <is>
          <t>F0059</t>
        </is>
      </c>
      <c r="F1484" t="inlineStr">
        <is>
          <t>新北市土城區中央路一段189巷內-停車場</t>
        </is>
      </c>
      <c r="G1484" t="n">
        <v>24.9869009</v>
      </c>
      <c r="H1484" t="n">
        <v>121.4465151</v>
      </c>
      <c r="I1484" t="n">
        <v>16</v>
      </c>
      <c r="J1484" t="n">
        <v>4.8</v>
      </c>
      <c r="K1484" t="n">
        <v>317.5</v>
      </c>
      <c r="L1484" t="inlineStr">
        <is>
          <t>Primary</t>
        </is>
      </c>
    </row>
    <row r="1485">
      <c r="A1485" t="n">
        <v>1</v>
      </c>
      <c r="B1485" s="30" t="inlineStr">
        <is>
          <t>S10</t>
        </is>
      </c>
      <c r="C1485" t="inlineStr">
        <is>
          <t>PZ-D</t>
        </is>
      </c>
      <c r="D1485" t="n">
        <v>22</v>
      </c>
      <c r="E1485" t="inlineStr">
        <is>
          <t>F0059</t>
        </is>
      </c>
      <c r="F1485" t="inlineStr">
        <is>
          <t>新北市土城區中央路一段189巷內-停車場</t>
        </is>
      </c>
      <c r="G1485" t="n">
        <v>24.986769</v>
      </c>
      <c r="H1485" t="n">
        <v>121.446458</v>
      </c>
      <c r="I1485" t="n">
        <v>16</v>
      </c>
      <c r="J1485" t="n">
        <v>2</v>
      </c>
      <c r="K1485" t="n">
        <v>335.5</v>
      </c>
      <c r="L1485" t="inlineStr">
        <is>
          <t>Primary</t>
        </is>
      </c>
    </row>
    <row r="1486">
      <c r="A1486" t="n">
        <v>1</v>
      </c>
      <c r="B1486" s="30" t="inlineStr">
        <is>
          <t>S10</t>
        </is>
      </c>
      <c r="C1486" t="inlineStr">
        <is>
          <t>PZ-D</t>
        </is>
      </c>
      <c r="D1486" t="n">
        <v>23</v>
      </c>
      <c r="E1486" t="inlineStr">
        <is>
          <t>F0089</t>
        </is>
      </c>
      <c r="F1486" t="inlineStr">
        <is>
          <t>新北市土城區莊園街123之10地號-停車場旁-三期</t>
        </is>
      </c>
      <c r="G1486" t="n">
        <v>24.981811</v>
      </c>
      <c r="H1486" t="n">
        <v>121.446325</v>
      </c>
      <c r="I1486" t="n">
        <v>16</v>
      </c>
      <c r="J1486" t="n">
        <v>3</v>
      </c>
      <c r="K1486" t="n">
        <v>354.5</v>
      </c>
      <c r="L1486" t="inlineStr">
        <is>
          <t>Primary</t>
        </is>
      </c>
    </row>
    <row r="1487">
      <c r="A1487" t="n">
        <v>1</v>
      </c>
      <c r="B1487" s="30" t="inlineStr">
        <is>
          <t>S10</t>
        </is>
      </c>
      <c r="C1487" t="inlineStr">
        <is>
          <t>PZ-D</t>
        </is>
      </c>
      <c r="D1487" t="n">
        <v>24</v>
      </c>
      <c r="E1487" t="inlineStr">
        <is>
          <t>F0090</t>
        </is>
      </c>
      <c r="F1487" t="inlineStr">
        <is>
          <t>新北市土城區莊園街123之10地號-停車場旁-三期(警衛室後休息站旁)</t>
        </is>
      </c>
      <c r="G1487" t="n">
        <v>24.981811</v>
      </c>
      <c r="H1487" t="n">
        <v>121.446325</v>
      </c>
      <c r="I1487" t="n">
        <v>16</v>
      </c>
      <c r="J1487" t="n">
        <v>2</v>
      </c>
      <c r="K1487" t="n">
        <v>372.5</v>
      </c>
      <c r="L1487" t="inlineStr">
        <is>
          <t>Primary</t>
        </is>
      </c>
    </row>
    <row r="1488">
      <c r="A1488" t="n">
        <v>1</v>
      </c>
      <c r="B1488" s="30" t="inlineStr">
        <is>
          <t>S10</t>
        </is>
      </c>
      <c r="C1488" t="inlineStr">
        <is>
          <t>PZ-D</t>
        </is>
      </c>
      <c r="D1488" t="n">
        <v>25</v>
      </c>
      <c r="E1488" t="inlineStr">
        <is>
          <t>F0071</t>
        </is>
      </c>
      <c r="F1488" t="inlineStr">
        <is>
          <t>新北市土城區金城路2段&amp;龍山二街口</t>
        </is>
      </c>
      <c r="G1488" t="n">
        <v>24.979172</v>
      </c>
      <c r="H1488" t="n">
        <v>121.4510343333333</v>
      </c>
      <c r="I1488" t="n">
        <v>48</v>
      </c>
      <c r="J1488" t="n">
        <v>3</v>
      </c>
      <c r="K1488" t="n">
        <v>423.5</v>
      </c>
      <c r="L1488" t="inlineStr">
        <is>
          <t>Primary</t>
        </is>
      </c>
    </row>
    <row r="1489">
      <c r="A1489" t="n">
        <v>1</v>
      </c>
      <c r="B1489" s="30" t="inlineStr">
        <is>
          <t>S10</t>
        </is>
      </c>
      <c r="C1489" t="inlineStr">
        <is>
          <t>PZ-D</t>
        </is>
      </c>
      <c r="D1489" t="n">
        <v>26</v>
      </c>
      <c r="E1489" t="inlineStr">
        <is>
          <t>F0074</t>
        </is>
      </c>
      <c r="F1489" t="inlineStr">
        <is>
          <t>新北市土城區金城路2段&amp;龍山二街口-A棟13F</t>
        </is>
      </c>
      <c r="G1489" t="n">
        <v>24.978939</v>
      </c>
      <c r="H1489" t="n">
        <v>121.450911</v>
      </c>
      <c r="I1489" t="n">
        <v>18</v>
      </c>
      <c r="J1489" t="n">
        <v>2</v>
      </c>
      <c r="K1489" t="n">
        <v>443.5</v>
      </c>
      <c r="L1489" t="inlineStr">
        <is>
          <t>Primary</t>
        </is>
      </c>
    </row>
    <row r="1490">
      <c r="A1490" t="n">
        <v>1</v>
      </c>
      <c r="B1490" s="30" t="inlineStr">
        <is>
          <t>S10</t>
        </is>
      </c>
      <c r="C1490" t="inlineStr">
        <is>
          <t>PZ-D</t>
        </is>
      </c>
      <c r="D1490" t="n">
        <v>27</v>
      </c>
      <c r="E1490" t="inlineStr">
        <is>
          <t>F0077</t>
        </is>
      </c>
      <c r="F1490" t="inlineStr">
        <is>
          <t>新北市土城區金城路2段&amp;龍山二街口-B棟-10F</t>
        </is>
      </c>
      <c r="G1490" t="n">
        <v>24.978939</v>
      </c>
      <c r="H1490" t="n">
        <v>121.450911</v>
      </c>
      <c r="I1490" t="n">
        <v>18</v>
      </c>
      <c r="J1490" t="n">
        <v>2</v>
      </c>
      <c r="K1490" t="n">
        <v>463.5</v>
      </c>
      <c r="L1490" t="inlineStr">
        <is>
          <t>Primary</t>
        </is>
      </c>
    </row>
    <row r="1491">
      <c r="A1491" t="n">
        <v>1</v>
      </c>
      <c r="B1491" s="30" t="inlineStr">
        <is>
          <t>S10</t>
        </is>
      </c>
      <c r="C1491" t="inlineStr">
        <is>
          <t>PZ-D</t>
        </is>
      </c>
      <c r="D1491" t="n">
        <v>28</v>
      </c>
      <c r="E1491" t="inlineStr">
        <is>
          <t>F0078</t>
        </is>
      </c>
      <c r="F1491" t="inlineStr">
        <is>
          <t>新北市土城區金城路2段&amp;龍山二街口-B棟13F</t>
        </is>
      </c>
      <c r="G1491" t="n">
        <v>24.978939</v>
      </c>
      <c r="H1491" t="n">
        <v>121.450911</v>
      </c>
      <c r="I1491" t="n">
        <v>18</v>
      </c>
      <c r="J1491" t="n">
        <v>2</v>
      </c>
      <c r="K1491" t="n">
        <v>483.5</v>
      </c>
      <c r="L1491" t="inlineStr">
        <is>
          <t>Primary</t>
        </is>
      </c>
    </row>
    <row r="1492">
      <c r="A1492" t="n">
        <v>1</v>
      </c>
      <c r="B1492" s="30" t="inlineStr">
        <is>
          <t>S10</t>
        </is>
      </c>
      <c r="C1492" t="inlineStr">
        <is>
          <t>PZ-D</t>
        </is>
      </c>
      <c r="D1492" t="n">
        <v>29</v>
      </c>
      <c r="E1492" t="inlineStr">
        <is>
          <t>F0082</t>
        </is>
      </c>
      <c r="F1492" t="inlineStr">
        <is>
          <t>新北市土城區金城路2段&amp;龍山二街口-C棟-12F</t>
        </is>
      </c>
      <c r="G1492" t="n">
        <v>24.978939</v>
      </c>
      <c r="H1492" t="n">
        <v>121.450911</v>
      </c>
      <c r="I1492" t="n">
        <v>16</v>
      </c>
      <c r="J1492" t="n">
        <v>2</v>
      </c>
      <c r="K1492" t="n">
        <v>501.5</v>
      </c>
      <c r="L1492" t="inlineStr">
        <is>
          <t>Primary</t>
        </is>
      </c>
    </row>
    <row r="1493">
      <c r="A1493" t="n">
        <v>1</v>
      </c>
      <c r="B1493" s="30" t="inlineStr">
        <is>
          <t>S10</t>
        </is>
      </c>
      <c r="C1493" t="inlineStr">
        <is>
          <t>PZ-D</t>
        </is>
      </c>
      <c r="D1493" t="n">
        <v>30</v>
      </c>
      <c r="E1493" t="inlineStr">
        <is>
          <t>F0063</t>
        </is>
      </c>
      <c r="F1493" t="inlineStr">
        <is>
          <t>新北市土城區延吉街296巷36號</t>
        </is>
      </c>
      <c r="G1493" t="n">
        <v>24.98548</v>
      </c>
      <c r="H1493" t="n">
        <v>121.463928</v>
      </c>
      <c r="I1493" t="n">
        <v>8</v>
      </c>
      <c r="J1493" t="n">
        <v>3.6</v>
      </c>
      <c r="K1493" t="n">
        <v>513.1</v>
      </c>
      <c r="L1493" t="inlineStr">
        <is>
          <t>Primary</t>
        </is>
      </c>
    </row>
    <row r="1494">
      <c r="A1494" t="n">
        <v>2</v>
      </c>
      <c r="B1494" s="30" t="inlineStr">
        <is>
          <t>S10</t>
        </is>
      </c>
      <c r="C1494" t="inlineStr">
        <is>
          <t>PZ-D</t>
        </is>
      </c>
      <c r="D1494" t="n">
        <v>1</v>
      </c>
      <c r="E1494" t="inlineStr">
        <is>
          <t>F0225</t>
        </is>
      </c>
      <c r="F1494" t="inlineStr">
        <is>
          <t>新北市林口區源泉街152號對面工地</t>
        </is>
      </c>
      <c r="G1494" t="n">
        <v>25.071156</v>
      </c>
      <c r="H1494" t="n">
        <v>121.354461</v>
      </c>
      <c r="I1494" t="n">
        <v>8</v>
      </c>
      <c r="J1494" t="n">
        <v>22.3</v>
      </c>
      <c r="K1494" t="n">
        <v>30.3</v>
      </c>
      <c r="L1494" t="inlineStr">
        <is>
          <t>Primary</t>
        </is>
      </c>
    </row>
    <row r="1495">
      <c r="A1495" t="n">
        <v>2</v>
      </c>
      <c r="B1495" s="30" t="inlineStr">
        <is>
          <t>S10</t>
        </is>
      </c>
      <c r="C1495" t="inlineStr">
        <is>
          <t>PZ-D</t>
        </is>
      </c>
      <c r="D1495" t="n">
        <v>2</v>
      </c>
      <c r="E1495" t="inlineStr">
        <is>
          <t>F0209</t>
        </is>
      </c>
      <c r="F1495" t="inlineStr">
        <is>
          <t>新北市林口區忠孝一路78號</t>
        </is>
      </c>
      <c r="G1495" t="n">
        <v>25.073792</v>
      </c>
      <c r="H1495" t="n">
        <v>121.362656</v>
      </c>
      <c r="I1495" t="n">
        <v>8</v>
      </c>
      <c r="J1495" t="n">
        <v>3</v>
      </c>
      <c r="K1495" t="n">
        <v>41.3</v>
      </c>
      <c r="L1495" t="inlineStr">
        <is>
          <t>Primary</t>
        </is>
      </c>
    </row>
    <row r="1496">
      <c r="A1496" t="n">
        <v>2</v>
      </c>
      <c r="B1496" s="30" t="inlineStr">
        <is>
          <t>S10</t>
        </is>
      </c>
      <c r="C1496" t="inlineStr">
        <is>
          <t>PZ-D</t>
        </is>
      </c>
      <c r="D1496" t="n">
        <v>3</v>
      </c>
      <c r="E1496" t="inlineStr">
        <is>
          <t>F0198</t>
        </is>
      </c>
      <c r="F1496" t="inlineStr">
        <is>
          <t>新北市林口區文化北路1段386號旁</t>
        </is>
      </c>
      <c r="G1496" t="n">
        <v>25.07482</v>
      </c>
      <c r="H1496" t="n">
        <v>121.362831</v>
      </c>
      <c r="I1496" t="n">
        <v>16</v>
      </c>
      <c r="J1496" t="n">
        <v>3</v>
      </c>
      <c r="K1496" t="n">
        <v>60.3</v>
      </c>
      <c r="L1496" t="inlineStr">
        <is>
          <t>Primary</t>
        </is>
      </c>
    </row>
    <row r="1497">
      <c r="A1497" t="n">
        <v>2</v>
      </c>
      <c r="B1497" s="30" t="inlineStr">
        <is>
          <t>S10</t>
        </is>
      </c>
      <c r="C1497" t="inlineStr">
        <is>
          <t>PZ-D</t>
        </is>
      </c>
      <c r="D1497" t="n">
        <v>4</v>
      </c>
      <c r="E1497" t="inlineStr">
        <is>
          <t>F0194</t>
        </is>
      </c>
      <c r="F1497" t="inlineStr">
        <is>
          <t>新北市林口區文化三路一段617巷</t>
        </is>
      </c>
      <c r="G1497" t="n">
        <v>25.078495</v>
      </c>
      <c r="H1497" t="n">
        <v>121.370656</v>
      </c>
      <c r="I1497" t="n">
        <v>8</v>
      </c>
      <c r="J1497" t="n">
        <v>3</v>
      </c>
      <c r="K1497" t="n">
        <v>71.3</v>
      </c>
      <c r="L1497" t="inlineStr">
        <is>
          <t>Primary</t>
        </is>
      </c>
    </row>
    <row r="1498">
      <c r="A1498" t="n">
        <v>2</v>
      </c>
      <c r="B1498" s="30" t="inlineStr">
        <is>
          <t>S10</t>
        </is>
      </c>
      <c r="C1498" t="inlineStr">
        <is>
          <t>PZ-D</t>
        </is>
      </c>
      <c r="D1498" t="n">
        <v>5</v>
      </c>
      <c r="E1498" t="inlineStr">
        <is>
          <t>F0204</t>
        </is>
      </c>
      <c r="F1498" t="inlineStr">
        <is>
          <t>新北市林口區四維路&amp;吉祥路口-林口健身工廠停車場旁</t>
        </is>
      </c>
      <c r="G1498" t="n">
        <v>25.07956</v>
      </c>
      <c r="H1498" t="n">
        <v>121.375574</v>
      </c>
      <c r="I1498" t="n">
        <v>16</v>
      </c>
      <c r="J1498" t="n">
        <v>3</v>
      </c>
      <c r="K1498" t="n">
        <v>90.3</v>
      </c>
      <c r="L1498" t="inlineStr">
        <is>
          <t>Primary</t>
        </is>
      </c>
    </row>
    <row r="1499">
      <c r="A1499" t="n">
        <v>2</v>
      </c>
      <c r="B1499" s="30" t="inlineStr">
        <is>
          <t>S10</t>
        </is>
      </c>
      <c r="C1499" t="inlineStr">
        <is>
          <t>PZ-D</t>
        </is>
      </c>
      <c r="D1499" t="n">
        <v>6</v>
      </c>
      <c r="E1499" t="inlineStr">
        <is>
          <t>F0193</t>
        </is>
      </c>
      <c r="F1499" t="inlineStr">
        <is>
          <t>新北市林口區文化二路二段及吉祥路交叉口工地</t>
        </is>
      </c>
      <c r="G1499" t="n">
        <v>25.080056</v>
      </c>
      <c r="H1499" t="n">
        <v>121.377361</v>
      </c>
      <c r="I1499" t="n">
        <v>16</v>
      </c>
      <c r="J1499" t="n">
        <v>3</v>
      </c>
      <c r="K1499" t="n">
        <v>109.3</v>
      </c>
      <c r="L1499" t="inlineStr">
        <is>
          <t>Primary</t>
        </is>
      </c>
    </row>
    <row r="1500">
      <c r="A1500" t="n">
        <v>2</v>
      </c>
      <c r="B1500" s="30" t="inlineStr">
        <is>
          <t>S10</t>
        </is>
      </c>
      <c r="C1500" t="inlineStr">
        <is>
          <t>PZ-D</t>
        </is>
      </c>
      <c r="D1500" t="n">
        <v>7</v>
      </c>
      <c r="E1500" t="inlineStr">
        <is>
          <t>F0175</t>
        </is>
      </c>
      <c r="F1500" t="inlineStr">
        <is>
          <t>新北市林口區中華一路3號旁工地</t>
        </is>
      </c>
      <c r="G1500" t="n">
        <v>25.084111</v>
      </c>
      <c r="H1500" t="n">
        <v>121.381734</v>
      </c>
      <c r="I1500" t="n">
        <v>8</v>
      </c>
      <c r="J1500" t="n">
        <v>3</v>
      </c>
      <c r="K1500" t="n">
        <v>120.3</v>
      </c>
      <c r="L1500" t="inlineStr">
        <is>
          <t>Primary</t>
        </is>
      </c>
    </row>
    <row r="1501">
      <c r="A1501" t="n">
        <v>2</v>
      </c>
      <c r="B1501" s="30" t="inlineStr">
        <is>
          <t>S10</t>
        </is>
      </c>
      <c r="C1501" t="inlineStr">
        <is>
          <t>PZ-D</t>
        </is>
      </c>
      <c r="D1501" t="n">
        <v>8</v>
      </c>
      <c r="E1501" t="inlineStr">
        <is>
          <t>F0172</t>
        </is>
      </c>
      <c r="F1501" t="inlineStr">
        <is>
          <t>新北市林口區中北三街-一品公園旁工地</t>
        </is>
      </c>
      <c r="G1501" t="n">
        <v>25.084077</v>
      </c>
      <c r="H1501" t="n">
        <v>121.383103</v>
      </c>
      <c r="I1501" t="n">
        <v>8</v>
      </c>
      <c r="J1501" t="n">
        <v>3</v>
      </c>
      <c r="K1501" t="n">
        <v>131.3</v>
      </c>
      <c r="L1501" t="inlineStr">
        <is>
          <t>Primary</t>
        </is>
      </c>
    </row>
    <row r="1502">
      <c r="A1502" t="n">
        <v>2</v>
      </c>
      <c r="B1502" s="30" t="inlineStr">
        <is>
          <t>S10</t>
        </is>
      </c>
      <c r="C1502" t="inlineStr">
        <is>
          <t>PZ-D</t>
        </is>
      </c>
      <c r="D1502" t="n">
        <v>9</v>
      </c>
      <c r="E1502" t="inlineStr">
        <is>
          <t>F0192</t>
        </is>
      </c>
      <c r="F1502" t="inlineStr">
        <is>
          <t>新北市林口區文化二路二段371號</t>
        </is>
      </c>
      <c r="G1502" t="n">
        <v>25.086847</v>
      </c>
      <c r="H1502" t="n">
        <v>121.381656</v>
      </c>
      <c r="I1502" t="n">
        <v>8</v>
      </c>
      <c r="J1502" t="n">
        <v>3</v>
      </c>
      <c r="K1502" t="n">
        <v>142.3</v>
      </c>
      <c r="L1502" t="inlineStr">
        <is>
          <t>Primary</t>
        </is>
      </c>
    </row>
    <row r="1503">
      <c r="A1503" t="n">
        <v>2</v>
      </c>
      <c r="B1503" s="30" t="inlineStr">
        <is>
          <t>S10</t>
        </is>
      </c>
      <c r="C1503" t="inlineStr">
        <is>
          <t>PZ-D</t>
        </is>
      </c>
      <c r="D1503" t="n">
        <v>10</v>
      </c>
      <c r="E1503" t="inlineStr">
        <is>
          <t>F0190</t>
        </is>
      </c>
      <c r="F1503" t="inlineStr">
        <is>
          <t>新北市林口區文化二路２段490號旁工地</t>
        </is>
      </c>
      <c r="G1503" t="n">
        <v>25.088736</v>
      </c>
      <c r="H1503" t="n">
        <v>121.382886</v>
      </c>
      <c r="I1503" t="n">
        <v>8</v>
      </c>
      <c r="J1503" t="n">
        <v>3</v>
      </c>
      <c r="K1503" t="n">
        <v>153.3</v>
      </c>
      <c r="L1503" t="inlineStr">
        <is>
          <t>Primary</t>
        </is>
      </c>
    </row>
    <row r="1504">
      <c r="A1504" t="n">
        <v>2</v>
      </c>
      <c r="B1504" s="30" t="inlineStr">
        <is>
          <t>S10</t>
        </is>
      </c>
      <c r="C1504" t="inlineStr">
        <is>
          <t>PZ-D</t>
        </is>
      </c>
      <c r="D1504" t="n">
        <v>11</v>
      </c>
      <c r="E1504" t="inlineStr">
        <is>
          <t>F0176</t>
        </is>
      </c>
      <c r="F1504" t="inlineStr">
        <is>
          <t>新北市林口區中華路223巷1號隔壁工地</t>
        </is>
      </c>
      <c r="G1504" t="n">
        <v>25.089569</v>
      </c>
      <c r="H1504" t="n">
        <v>121.385319</v>
      </c>
      <c r="I1504" t="n">
        <v>8</v>
      </c>
      <c r="J1504" t="n">
        <v>3</v>
      </c>
      <c r="K1504" t="n">
        <v>164.3</v>
      </c>
      <c r="L1504" t="inlineStr">
        <is>
          <t>Primary</t>
        </is>
      </c>
    </row>
    <row r="1505">
      <c r="A1505" t="n">
        <v>2</v>
      </c>
      <c r="B1505" s="30" t="inlineStr">
        <is>
          <t>S10</t>
        </is>
      </c>
      <c r="C1505" t="inlineStr">
        <is>
          <t>PZ-D</t>
        </is>
      </c>
      <c r="D1505" t="n">
        <v>12</v>
      </c>
      <c r="E1505" t="inlineStr">
        <is>
          <t>F0220</t>
        </is>
      </c>
      <c r="F1505" t="inlineStr">
        <is>
          <t>新北市林口區湖子路(附座標)</t>
        </is>
      </c>
      <c r="G1505" t="n">
        <v>25.098427</v>
      </c>
      <c r="H1505" t="n">
        <v>121.388639</v>
      </c>
      <c r="I1505" t="n">
        <v>8</v>
      </c>
      <c r="J1505" t="n">
        <v>3</v>
      </c>
      <c r="K1505" t="n">
        <v>175.3</v>
      </c>
      <c r="L1505" t="inlineStr">
        <is>
          <t>Primary</t>
        </is>
      </c>
    </row>
    <row r="1506">
      <c r="A1506" t="n">
        <v>2</v>
      </c>
      <c r="B1506" s="30" t="inlineStr">
        <is>
          <t>S10</t>
        </is>
      </c>
      <c r="C1506" t="inlineStr">
        <is>
          <t>PZ-D</t>
        </is>
      </c>
      <c r="D1506" t="n">
        <v>13</v>
      </c>
      <c r="E1506" t="inlineStr">
        <is>
          <t>F0187</t>
        </is>
      </c>
      <c r="F1506" t="inlineStr">
        <is>
          <t>新北市林口區太平里太平嶺27號</t>
        </is>
      </c>
      <c r="G1506" t="n">
        <v>25.115228</v>
      </c>
      <c r="H1506" t="n">
        <v>121.376534</v>
      </c>
      <c r="I1506" t="n">
        <v>8</v>
      </c>
      <c r="J1506" t="n">
        <v>5.4</v>
      </c>
      <c r="K1506" t="n">
        <v>188.7</v>
      </c>
      <c r="L1506" t="inlineStr">
        <is>
          <t>Primary</t>
        </is>
      </c>
    </row>
    <row r="1507">
      <c r="A1507" t="n">
        <v>2</v>
      </c>
      <c r="B1507" s="30" t="inlineStr">
        <is>
          <t>S10</t>
        </is>
      </c>
      <c r="C1507" t="inlineStr">
        <is>
          <t>PZ-D</t>
        </is>
      </c>
      <c r="D1507" t="n">
        <v>14</v>
      </c>
      <c r="E1507" t="inlineStr">
        <is>
          <t>F0019</t>
        </is>
      </c>
      <c r="F1507" t="inlineStr">
        <is>
          <t>新北市八里區楓林路8鄰3之16號(倉庫)-電聯林先生帶定位</t>
        </is>
      </c>
      <c r="G1507" t="n">
        <v>25.1297</v>
      </c>
      <c r="H1507" t="n">
        <v>121.382589</v>
      </c>
      <c r="I1507" t="n">
        <v>8</v>
      </c>
      <c r="J1507" t="n">
        <v>4.1</v>
      </c>
      <c r="K1507" t="n">
        <v>200.8</v>
      </c>
      <c r="L1507" t="inlineStr">
        <is>
          <t>Primary</t>
        </is>
      </c>
    </row>
    <row r="1508">
      <c r="A1508" t="n">
        <v>2</v>
      </c>
      <c r="B1508" s="30" t="inlineStr">
        <is>
          <t>S10</t>
        </is>
      </c>
      <c r="C1508" t="inlineStr">
        <is>
          <t>PZ-D</t>
        </is>
      </c>
      <c r="D1508" t="n">
        <v>15</v>
      </c>
      <c r="E1508" t="inlineStr">
        <is>
          <t>F0018</t>
        </is>
      </c>
      <c r="F1508" t="inlineStr">
        <is>
          <t>新北市八里區廈竹圍25號-臺北港</t>
        </is>
      </c>
      <c r="G1508" t="n">
        <v>25.1441205</v>
      </c>
      <c r="H1508" t="n">
        <v>121.393756</v>
      </c>
      <c r="I1508" t="n">
        <v>96</v>
      </c>
      <c r="J1508" t="n">
        <v>4.7</v>
      </c>
      <c r="K1508" t="n">
        <v>301.5</v>
      </c>
      <c r="L1508" t="inlineStr">
        <is>
          <t>Primary</t>
        </is>
      </c>
    </row>
    <row r="1509">
      <c r="A1509" t="n">
        <v>2</v>
      </c>
      <c r="B1509" s="30" t="inlineStr">
        <is>
          <t>S10</t>
        </is>
      </c>
      <c r="C1509" t="inlineStr">
        <is>
          <t>PZ-D</t>
        </is>
      </c>
      <c r="D1509" t="n">
        <v>16</v>
      </c>
      <c r="E1509" t="inlineStr">
        <is>
          <t>F0010</t>
        </is>
      </c>
      <c r="F1509" t="inlineStr">
        <is>
          <t>新北市八里區商港路(台北港泛亞)</t>
        </is>
      </c>
      <c r="G1509" t="n">
        <v>25.1486398</v>
      </c>
      <c r="H1509" t="n">
        <v>121.3935529</v>
      </c>
      <c r="I1509" t="n">
        <v>48</v>
      </c>
      <c r="J1509" t="n">
        <v>3</v>
      </c>
      <c r="K1509" t="n">
        <v>352.5</v>
      </c>
      <c r="L1509" t="inlineStr">
        <is>
          <t>Primary</t>
        </is>
      </c>
    </row>
    <row r="1510">
      <c r="A1510" t="n">
        <v>2</v>
      </c>
      <c r="B1510" s="30" t="inlineStr">
        <is>
          <t>S10</t>
        </is>
      </c>
      <c r="C1510" t="inlineStr">
        <is>
          <t>PZ-D</t>
        </is>
      </c>
      <c r="D1510" t="n">
        <v>17</v>
      </c>
      <c r="E1510" t="inlineStr">
        <is>
          <t>F0015</t>
        </is>
      </c>
      <c r="F1510" t="inlineStr">
        <is>
          <t>新北市八里區商港路-台北港電聯定位</t>
        </is>
      </c>
      <c r="G1510" t="n">
        <v>25.1486398</v>
      </c>
      <c r="H1510" t="n">
        <v>121.3935529</v>
      </c>
      <c r="I1510" t="n">
        <v>112</v>
      </c>
      <c r="J1510" t="n">
        <v>2</v>
      </c>
      <c r="K1510" t="n">
        <v>466.5</v>
      </c>
      <c r="L1510" t="inlineStr">
        <is>
          <t>Primary</t>
        </is>
      </c>
    </row>
    <row r="1511">
      <c r="A1511" t="n">
        <v>2</v>
      </c>
      <c r="B1511" s="30" t="inlineStr">
        <is>
          <t>S10</t>
        </is>
      </c>
      <c r="C1511" t="inlineStr">
        <is>
          <t>PZ-D</t>
        </is>
      </c>
      <c r="D1511" t="n">
        <v>18</v>
      </c>
      <c r="E1511" t="inlineStr">
        <is>
          <t>F0009</t>
        </is>
      </c>
      <c r="F1511" t="inlineStr">
        <is>
          <t>新北市八里區狀元路52號對面工地-銜接#74479中菲營造</t>
        </is>
      </c>
      <c r="G1511" t="n">
        <v>25.154025</v>
      </c>
      <c r="H1511" t="n">
        <v>121.410908</v>
      </c>
      <c r="I1511" t="n">
        <v>8</v>
      </c>
      <c r="J1511" t="n">
        <v>4.4</v>
      </c>
      <c r="K1511" t="n">
        <v>479</v>
      </c>
      <c r="L1511" t="inlineStr">
        <is>
          <t>Primary</t>
        </is>
      </c>
    </row>
    <row r="1512">
      <c r="A1512" t="n">
        <v>2</v>
      </c>
      <c r="B1512" s="30" t="inlineStr">
        <is>
          <t>S10</t>
        </is>
      </c>
      <c r="C1512" t="inlineStr">
        <is>
          <t>PZ-D</t>
        </is>
      </c>
      <c r="D1512" t="n">
        <v>19</v>
      </c>
      <c r="E1512" t="inlineStr">
        <is>
          <t>F0005</t>
        </is>
      </c>
      <c r="F1512" t="inlineStr">
        <is>
          <t>新北市八里區文昌七街與文昌路交叉口</t>
        </is>
      </c>
      <c r="G1512" t="n">
        <v>25.154653</v>
      </c>
      <c r="H1512" t="n">
        <v>121.413269</v>
      </c>
      <c r="I1512" t="n">
        <v>8</v>
      </c>
      <c r="J1512" t="n">
        <v>3</v>
      </c>
      <c r="K1512" t="n">
        <v>490</v>
      </c>
      <c r="L1512" t="inlineStr">
        <is>
          <t>Primary</t>
        </is>
      </c>
    </row>
    <row r="1513">
      <c r="A1513" t="n">
        <v>2</v>
      </c>
      <c r="B1513" s="30" t="inlineStr">
        <is>
          <t>S10</t>
        </is>
      </c>
      <c r="C1513" t="inlineStr">
        <is>
          <t>PZ-D</t>
        </is>
      </c>
      <c r="D1513" t="n">
        <v>20</v>
      </c>
      <c r="E1513" t="inlineStr">
        <is>
          <t>F0008</t>
        </is>
      </c>
      <c r="F1513" t="inlineStr">
        <is>
          <t>新北市八里區民治街5號-附圖自行定位</t>
        </is>
      </c>
      <c r="G1513" t="n">
        <v>25.157975</v>
      </c>
      <c r="H1513" t="n">
        <v>121.415497</v>
      </c>
      <c r="I1513" t="n">
        <v>8</v>
      </c>
      <c r="J1513" t="n">
        <v>3</v>
      </c>
      <c r="K1513" t="n">
        <v>501</v>
      </c>
      <c r="L1513" t="inlineStr">
        <is>
          <t>Primary</t>
        </is>
      </c>
    </row>
    <row r="1514">
      <c r="A1514" t="n">
        <v>3</v>
      </c>
      <c r="B1514" s="30" t="inlineStr">
        <is>
          <t>S10</t>
        </is>
      </c>
      <c r="C1514" t="inlineStr">
        <is>
          <t>PZ-D</t>
        </is>
      </c>
      <c r="D1514" t="n">
        <v>1</v>
      </c>
      <c r="E1514" t="inlineStr">
        <is>
          <t>F0076</t>
        </is>
      </c>
      <c r="F1514" t="inlineStr">
        <is>
          <t>新北市土城區金城路2段&amp;龍山二街口-B棟</t>
        </is>
      </c>
      <c r="G1514" t="n">
        <v>24.979153</v>
      </c>
      <c r="H1514" t="n">
        <v>121.451458</v>
      </c>
      <c r="I1514" t="n">
        <v>18</v>
      </c>
      <c r="J1514" t="n">
        <v>24</v>
      </c>
      <c r="K1514" t="n">
        <v>42</v>
      </c>
      <c r="L1514" t="inlineStr">
        <is>
          <t>Primary</t>
        </is>
      </c>
    </row>
    <row r="1515">
      <c r="A1515" t="n">
        <v>3</v>
      </c>
      <c r="B1515" s="30" t="inlineStr">
        <is>
          <t>S10</t>
        </is>
      </c>
      <c r="C1515" t="inlineStr">
        <is>
          <t>PZ-D</t>
        </is>
      </c>
      <c r="D1515" t="n">
        <v>2</v>
      </c>
      <c r="E1515" t="inlineStr">
        <is>
          <t>F0081</t>
        </is>
      </c>
      <c r="F1515" t="inlineStr">
        <is>
          <t>新北市土城區金城路2段&amp;龍山二街口-C棟</t>
        </is>
      </c>
      <c r="G1515" t="n">
        <v>24.979153</v>
      </c>
      <c r="H1515" t="n">
        <v>121.451458</v>
      </c>
      <c r="I1515" t="n">
        <v>16</v>
      </c>
      <c r="J1515" t="n">
        <v>2</v>
      </c>
      <c r="K1515" t="n">
        <v>60</v>
      </c>
      <c r="L1515" t="inlineStr">
        <is>
          <t>Primary</t>
        </is>
      </c>
    </row>
    <row r="1516">
      <c r="A1516" t="n">
        <v>3</v>
      </c>
      <c r="B1516" s="30" t="inlineStr">
        <is>
          <t>S10</t>
        </is>
      </c>
      <c r="C1516" t="inlineStr">
        <is>
          <t>PZ-D</t>
        </is>
      </c>
      <c r="D1516" t="n">
        <v>3</v>
      </c>
      <c r="E1516" t="inlineStr">
        <is>
          <t>F0087</t>
        </is>
      </c>
      <c r="F1516" t="inlineStr">
        <is>
          <t>新北市土城區青福街76號</t>
        </is>
      </c>
      <c r="G1516" t="n">
        <v>24.978673</v>
      </c>
      <c r="H1516" t="n">
        <v>121.457308</v>
      </c>
      <c r="I1516" t="n">
        <v>16</v>
      </c>
      <c r="J1516" t="n">
        <v>3</v>
      </c>
      <c r="K1516" t="n">
        <v>79</v>
      </c>
      <c r="L1516" t="inlineStr">
        <is>
          <t>Primary</t>
        </is>
      </c>
    </row>
    <row r="1517">
      <c r="A1517" t="n">
        <v>3</v>
      </c>
      <c r="B1517" s="30" t="inlineStr">
        <is>
          <t>S10</t>
        </is>
      </c>
      <c r="C1517" t="inlineStr">
        <is>
          <t>PZ-D</t>
        </is>
      </c>
      <c r="D1517" t="n">
        <v>4</v>
      </c>
      <c r="E1517" t="inlineStr">
        <is>
          <t>F0102</t>
        </is>
      </c>
      <c r="F1517" t="inlineStr">
        <is>
          <t>新北市中和區圓通路369巷30弄16號</t>
        </is>
      </c>
      <c r="G1517" t="n">
        <v>24.985027</v>
      </c>
      <c r="H1517" t="n">
        <v>121.489108</v>
      </c>
      <c r="I1517" t="n">
        <v>8</v>
      </c>
      <c r="J1517" t="n">
        <v>7.9</v>
      </c>
      <c r="K1517" t="n">
        <v>94.90000000000001</v>
      </c>
      <c r="L1517" t="inlineStr">
        <is>
          <t>Primary</t>
        </is>
      </c>
    </row>
    <row r="1518">
      <c r="A1518" t="n">
        <v>3</v>
      </c>
      <c r="B1518" s="30" t="inlineStr">
        <is>
          <t>S10</t>
        </is>
      </c>
      <c r="C1518" t="inlineStr">
        <is>
          <t>PZ-D</t>
        </is>
      </c>
      <c r="D1518" t="n">
        <v>5</v>
      </c>
      <c r="E1518" t="inlineStr">
        <is>
          <t>F0099</t>
        </is>
      </c>
      <c r="F1518" t="inlineStr">
        <is>
          <t>新北市中和區南山路320巷工地</t>
        </is>
      </c>
      <c r="G1518" t="n">
        <v>24.98653</v>
      </c>
      <c r="H1518" t="n">
        <v>121.507586</v>
      </c>
      <c r="I1518" t="n">
        <v>8</v>
      </c>
      <c r="J1518" t="n">
        <v>4.5</v>
      </c>
      <c r="K1518" t="n">
        <v>107.4</v>
      </c>
      <c r="L1518" t="inlineStr">
        <is>
          <t>Primary</t>
        </is>
      </c>
    </row>
    <row r="1519">
      <c r="A1519" t="n">
        <v>3</v>
      </c>
      <c r="B1519" s="30" t="inlineStr">
        <is>
          <t>S10</t>
        </is>
      </c>
      <c r="C1519" t="inlineStr">
        <is>
          <t>PZ-D</t>
        </is>
      </c>
      <c r="D1519" t="n">
        <v>6</v>
      </c>
      <c r="E1519" t="inlineStr">
        <is>
          <t>F0101</t>
        </is>
      </c>
      <c r="F1519" t="inlineStr">
        <is>
          <t>新北市中和區景平路121號</t>
        </is>
      </c>
      <c r="G1519" t="n">
        <v>24.991611</v>
      </c>
      <c r="H1519" t="n">
        <v>121.516081</v>
      </c>
      <c r="I1519" t="n">
        <v>16</v>
      </c>
      <c r="J1519" t="n">
        <v>3</v>
      </c>
      <c r="K1519" t="n">
        <v>126.4</v>
      </c>
      <c r="L1519" t="inlineStr">
        <is>
          <t>Primary</t>
        </is>
      </c>
    </row>
    <row r="1520">
      <c r="A1520" t="n">
        <v>3</v>
      </c>
      <c r="B1520" s="30" t="inlineStr">
        <is>
          <t>S10</t>
        </is>
      </c>
      <c r="C1520" t="inlineStr">
        <is>
          <t>PZ-D</t>
        </is>
      </c>
      <c r="D1520" t="n">
        <v>7</v>
      </c>
      <c r="E1520" t="inlineStr">
        <is>
          <t>F0119</t>
        </is>
      </c>
      <c r="F1520" t="inlineStr">
        <is>
          <t>新北市永和區民有街100號</t>
        </is>
      </c>
      <c r="G1520" t="n">
        <v>24.99579466666667</v>
      </c>
      <c r="H1520" t="n">
        <v>121.5177883333333</v>
      </c>
      <c r="I1520" t="n">
        <v>48</v>
      </c>
      <c r="J1520" t="n">
        <v>3</v>
      </c>
      <c r="K1520" t="n">
        <v>177.4</v>
      </c>
      <c r="L1520" t="inlineStr">
        <is>
          <t>Primary</t>
        </is>
      </c>
    </row>
    <row r="1521">
      <c r="A1521" t="n">
        <v>3</v>
      </c>
      <c r="B1521" s="30" t="inlineStr">
        <is>
          <t>S10</t>
        </is>
      </c>
      <c r="C1521" t="inlineStr">
        <is>
          <t>PZ-D</t>
        </is>
      </c>
      <c r="D1521" t="n">
        <v>8</v>
      </c>
      <c r="E1521" t="inlineStr">
        <is>
          <t>F0097</t>
        </is>
      </c>
      <c r="F1521" t="inlineStr">
        <is>
          <t>新北市中和區自強路8巷3號</t>
        </is>
      </c>
      <c r="G1521" t="n">
        <v>24.995977</v>
      </c>
      <c r="H1521" t="n">
        <v>121.519925</v>
      </c>
      <c r="I1521" t="n">
        <v>8</v>
      </c>
      <c r="J1521" t="n">
        <v>3</v>
      </c>
      <c r="K1521" t="n">
        <v>188.4</v>
      </c>
      <c r="L1521" t="inlineStr">
        <is>
          <t>Primary</t>
        </is>
      </c>
    </row>
    <row r="1522">
      <c r="A1522" t="n">
        <v>3</v>
      </c>
      <c r="B1522" s="30" t="inlineStr">
        <is>
          <t>S10</t>
        </is>
      </c>
      <c r="C1522" t="inlineStr">
        <is>
          <t>PZ-D</t>
        </is>
      </c>
      <c r="D1522" t="n">
        <v>9</v>
      </c>
      <c r="E1522" t="inlineStr">
        <is>
          <t>F0122</t>
        </is>
      </c>
      <c r="F1522" t="inlineStr">
        <is>
          <t>新北市永和區秀朗路二段91巷</t>
        </is>
      </c>
      <c r="G1522" t="n">
        <v>25.00165</v>
      </c>
      <c r="H1522" t="n">
        <v>121.523228</v>
      </c>
      <c r="I1522" t="n">
        <v>8</v>
      </c>
      <c r="J1522" t="n">
        <v>3</v>
      </c>
      <c r="K1522" t="n">
        <v>199.4</v>
      </c>
      <c r="L1522" t="inlineStr">
        <is>
          <t>Primary</t>
        </is>
      </c>
    </row>
    <row r="1523">
      <c r="A1523" t="n">
        <v>3</v>
      </c>
      <c r="B1523" s="30" t="inlineStr">
        <is>
          <t>S10</t>
        </is>
      </c>
      <c r="C1523" t="inlineStr">
        <is>
          <t>PZ-D</t>
        </is>
      </c>
      <c r="D1523" t="n">
        <v>10</v>
      </c>
      <c r="E1523" t="inlineStr">
        <is>
          <t>F0120</t>
        </is>
      </c>
      <c r="F1523" t="inlineStr">
        <is>
          <t>新北市永和區永利路8號</t>
        </is>
      </c>
      <c r="G1523" t="n">
        <v>25.00608475</v>
      </c>
      <c r="H1523" t="n">
        <v>121.517596</v>
      </c>
      <c r="I1523" t="n">
        <v>56</v>
      </c>
      <c r="J1523" t="n">
        <v>3</v>
      </c>
      <c r="K1523" t="n">
        <v>258.4</v>
      </c>
      <c r="L1523" t="inlineStr">
        <is>
          <t>Primary</t>
        </is>
      </c>
    </row>
    <row r="1524">
      <c r="A1524" t="n">
        <v>3</v>
      </c>
      <c r="B1524" s="30" t="inlineStr">
        <is>
          <t>S10</t>
        </is>
      </c>
      <c r="C1524" t="inlineStr">
        <is>
          <t>PZ-D</t>
        </is>
      </c>
      <c r="D1524" t="n">
        <v>11</v>
      </c>
      <c r="E1524" t="inlineStr">
        <is>
          <t>F0126</t>
        </is>
      </c>
      <c r="F1524" t="inlineStr">
        <is>
          <t>新北市永和區福和路220號</t>
        </is>
      </c>
      <c r="G1524" t="n">
        <v>25.008225</v>
      </c>
      <c r="H1524" t="n">
        <v>121.519039</v>
      </c>
      <c r="I1524" t="n">
        <v>8</v>
      </c>
      <c r="J1524" t="n">
        <v>3</v>
      </c>
      <c r="K1524" t="n">
        <v>269.4</v>
      </c>
      <c r="L1524" t="inlineStr">
        <is>
          <t>Primary</t>
        </is>
      </c>
    </row>
    <row r="1525">
      <c r="A1525" t="n">
        <v>3</v>
      </c>
      <c r="B1525" s="30" t="inlineStr">
        <is>
          <t>S10</t>
        </is>
      </c>
      <c r="C1525" t="inlineStr">
        <is>
          <t>PZ-D</t>
        </is>
      </c>
      <c r="D1525" t="n">
        <v>12</v>
      </c>
      <c r="E1525" t="inlineStr">
        <is>
          <t>F0127</t>
        </is>
      </c>
      <c r="F1525" t="inlineStr">
        <is>
          <t>新北市永和區警光街27號旁</t>
        </is>
      </c>
      <c r="G1525" t="n">
        <v>25.009247</v>
      </c>
      <c r="H1525" t="n">
        <v>121.5191</v>
      </c>
      <c r="I1525" t="n">
        <v>8</v>
      </c>
      <c r="J1525" t="n">
        <v>3</v>
      </c>
      <c r="K1525" t="n">
        <v>280.4</v>
      </c>
      <c r="L1525" t="inlineStr">
        <is>
          <t>Primary</t>
        </is>
      </c>
    </row>
    <row r="1526">
      <c r="A1526" t="n">
        <v>3</v>
      </c>
      <c r="B1526" s="30" t="inlineStr">
        <is>
          <t>S10</t>
        </is>
      </c>
      <c r="C1526" t="inlineStr">
        <is>
          <t>PZ-D</t>
        </is>
      </c>
      <c r="D1526" t="n">
        <v>13</v>
      </c>
      <c r="E1526" t="inlineStr">
        <is>
          <t>F0125</t>
        </is>
      </c>
      <c r="F1526" t="inlineStr">
        <is>
          <t>新北市永和區國光路80號對面工地</t>
        </is>
      </c>
      <c r="G1526" t="n">
        <v>25.009925</v>
      </c>
      <c r="H1526" t="n">
        <v>121.517734</v>
      </c>
      <c r="I1526" t="n">
        <v>8</v>
      </c>
      <c r="J1526" t="n">
        <v>3</v>
      </c>
      <c r="K1526" t="n">
        <v>291.4</v>
      </c>
      <c r="L1526" t="inlineStr">
        <is>
          <t>Primary</t>
        </is>
      </c>
    </row>
    <row r="1527">
      <c r="A1527" t="n">
        <v>3</v>
      </c>
      <c r="B1527" s="30" t="inlineStr">
        <is>
          <t>S10</t>
        </is>
      </c>
      <c r="C1527" t="inlineStr">
        <is>
          <t>PZ-D</t>
        </is>
      </c>
      <c r="D1527" t="n">
        <v>14</v>
      </c>
      <c r="E1527" t="inlineStr">
        <is>
          <t>F0118</t>
        </is>
      </c>
      <c r="F1527" t="inlineStr">
        <is>
          <t>新北市永和區中興街84巷2號</t>
        </is>
      </c>
      <c r="G1527" t="n">
        <v>25.0122</v>
      </c>
      <c r="H1527" t="n">
        <v>121.518431</v>
      </c>
      <c r="I1527" t="n">
        <v>8</v>
      </c>
      <c r="J1527" t="n">
        <v>3</v>
      </c>
      <c r="K1527" t="n">
        <v>302.4</v>
      </c>
      <c r="L1527" t="inlineStr">
        <is>
          <t>Primary</t>
        </is>
      </c>
    </row>
    <row r="1528">
      <c r="A1528" t="n">
        <v>3</v>
      </c>
      <c r="B1528" s="30" t="inlineStr">
        <is>
          <t>S10</t>
        </is>
      </c>
      <c r="C1528" t="inlineStr">
        <is>
          <t>PZ-D</t>
        </is>
      </c>
      <c r="D1528" t="n">
        <v>15</v>
      </c>
      <c r="E1528" t="inlineStr">
        <is>
          <t>F0123</t>
        </is>
      </c>
      <c r="F1528" t="inlineStr">
        <is>
          <t>新北市永和區保福路一段68號旁</t>
        </is>
      </c>
      <c r="G1528" t="n">
        <v>25.009925</v>
      </c>
      <c r="H1528" t="n">
        <v>121.512733</v>
      </c>
      <c r="I1528" t="n">
        <v>8</v>
      </c>
      <c r="J1528" t="n">
        <v>3</v>
      </c>
      <c r="K1528" t="n">
        <v>313.4</v>
      </c>
      <c r="L1528" t="inlineStr">
        <is>
          <t>Primary</t>
        </is>
      </c>
    </row>
    <row r="1529">
      <c r="A1529" t="n">
        <v>3</v>
      </c>
      <c r="B1529" s="30" t="inlineStr">
        <is>
          <t>S10</t>
        </is>
      </c>
      <c r="C1529" t="inlineStr">
        <is>
          <t>PZ-D</t>
        </is>
      </c>
      <c r="D1529" t="n">
        <v>16</v>
      </c>
      <c r="E1529" t="inlineStr">
        <is>
          <t>F0117</t>
        </is>
      </c>
      <c r="F1529" t="inlineStr">
        <is>
          <t>新北市永和區中和路501巷13號</t>
        </is>
      </c>
      <c r="G1529" t="n">
        <v>25.002847</v>
      </c>
      <c r="H1529" t="n">
        <v>121.510436</v>
      </c>
      <c r="I1529" t="n">
        <v>8</v>
      </c>
      <c r="J1529" t="n">
        <v>3</v>
      </c>
      <c r="K1529" t="n">
        <v>324.4</v>
      </c>
      <c r="L1529" t="inlineStr">
        <is>
          <t>Primary</t>
        </is>
      </c>
    </row>
    <row r="1530">
      <c r="A1530" t="n">
        <v>3</v>
      </c>
      <c r="B1530" s="30" t="inlineStr">
        <is>
          <t>S10</t>
        </is>
      </c>
      <c r="C1530" t="inlineStr">
        <is>
          <t>PZ-D</t>
        </is>
      </c>
      <c r="D1530" t="n">
        <v>17</v>
      </c>
      <c r="E1530" t="inlineStr">
        <is>
          <t>A0082</t>
        </is>
      </c>
      <c r="F1530" t="inlineStr">
        <is>
          <t>臺北市中正區同安街109巷10號-古亭河濱公園-臨近永福橋下</t>
        </is>
      </c>
      <c r="G1530" t="n">
        <v>25.013422</v>
      </c>
      <c r="H1530" t="n">
        <v>121.52675</v>
      </c>
      <c r="I1530" t="n">
        <v>8</v>
      </c>
      <c r="J1530" t="n">
        <v>4.9</v>
      </c>
      <c r="K1530" t="n">
        <v>337.3</v>
      </c>
      <c r="L1530" t="inlineStr">
        <is>
          <t>Primary</t>
        </is>
      </c>
    </row>
    <row r="1531">
      <c r="A1531" t="n">
        <v>3</v>
      </c>
      <c r="B1531" s="30" t="inlineStr">
        <is>
          <t>S10</t>
        </is>
      </c>
      <c r="C1531" t="inlineStr">
        <is>
          <t>PZ-D</t>
        </is>
      </c>
      <c r="D1531" t="n">
        <v>18</v>
      </c>
      <c r="E1531" t="inlineStr">
        <is>
          <t>A0063</t>
        </is>
      </c>
      <c r="F1531" t="inlineStr">
        <is>
          <t>臺北市大安區泰順街62巷7號旁</t>
        </is>
      </c>
      <c r="G1531" t="n">
        <v>25.021484</v>
      </c>
      <c r="H1531" t="n">
        <v>121.531011</v>
      </c>
      <c r="I1531" t="n">
        <v>16</v>
      </c>
      <c r="J1531" t="n">
        <v>3</v>
      </c>
      <c r="K1531" t="n">
        <v>356.3</v>
      </c>
      <c r="L1531" t="inlineStr">
        <is>
          <t>Primary</t>
        </is>
      </c>
    </row>
    <row r="1532">
      <c r="A1532" t="n">
        <v>3</v>
      </c>
      <c r="B1532" s="30" t="inlineStr">
        <is>
          <t>S10</t>
        </is>
      </c>
      <c r="C1532" t="inlineStr">
        <is>
          <t>PZ-D</t>
        </is>
      </c>
      <c r="D1532" t="n">
        <v>19</v>
      </c>
      <c r="E1532" t="inlineStr">
        <is>
          <t>A0060</t>
        </is>
      </c>
      <c r="F1532" t="inlineStr">
        <is>
          <t>臺北市大安區和平東路二段18巷9號</t>
        </is>
      </c>
      <c r="G1532" t="n">
        <v>25.02402</v>
      </c>
      <c r="H1532" t="n">
        <v>121.535911</v>
      </c>
      <c r="I1532" t="n">
        <v>16</v>
      </c>
      <c r="J1532" t="n">
        <v>3</v>
      </c>
      <c r="K1532" t="n">
        <v>375.3</v>
      </c>
      <c r="L1532" t="inlineStr">
        <is>
          <t>Primary</t>
        </is>
      </c>
    </row>
    <row r="1533">
      <c r="A1533" t="n">
        <v>3</v>
      </c>
      <c r="B1533" s="30" t="inlineStr">
        <is>
          <t>S10</t>
        </is>
      </c>
      <c r="C1533" t="inlineStr">
        <is>
          <t>PZ-D</t>
        </is>
      </c>
      <c r="D1533" t="n">
        <v>20</v>
      </c>
      <c r="E1533" t="inlineStr">
        <is>
          <t>A0070</t>
        </is>
      </c>
      <c r="F1533" t="inlineStr">
        <is>
          <t>臺北市大安區瑞安街222巷35號</t>
        </is>
      </c>
      <c r="G1533" t="n">
        <v>25.02825</v>
      </c>
      <c r="H1533" t="n">
        <v>121.539047</v>
      </c>
      <c r="I1533" t="n">
        <v>8</v>
      </c>
      <c r="J1533" t="n">
        <v>3</v>
      </c>
      <c r="K1533" t="n">
        <v>386.3</v>
      </c>
      <c r="L1533" t="inlineStr">
        <is>
          <t>Primary</t>
        </is>
      </c>
    </row>
    <row r="1534">
      <c r="A1534" t="n">
        <v>3</v>
      </c>
      <c r="B1534" s="30" t="inlineStr">
        <is>
          <t>S10</t>
        </is>
      </c>
      <c r="C1534" t="inlineStr">
        <is>
          <t>PZ-D</t>
        </is>
      </c>
      <c r="D1534" t="n">
        <v>21</v>
      </c>
      <c r="E1534" t="inlineStr">
        <is>
          <t>A0066</t>
        </is>
      </c>
      <c r="F1534" t="inlineStr">
        <is>
          <t>臺北市大安區復興南路一段313巷4號25°02'04.3"N 121°32'40.3"E</t>
        </is>
      </c>
      <c r="G1534" t="n">
        <v>25.034391</v>
      </c>
      <c r="H1534" t="n">
        <v>121.544089</v>
      </c>
      <c r="I1534" t="n">
        <v>8</v>
      </c>
      <c r="J1534" t="n">
        <v>3</v>
      </c>
      <c r="K1534" t="n">
        <v>397.3</v>
      </c>
      <c r="L1534" t="inlineStr">
        <is>
          <t>Primary</t>
        </is>
      </c>
    </row>
    <row r="1535">
      <c r="A1535" t="n">
        <v>3</v>
      </c>
      <c r="B1535" s="30" t="inlineStr">
        <is>
          <t>S10</t>
        </is>
      </c>
      <c r="C1535" t="inlineStr">
        <is>
          <t>PZ-D</t>
        </is>
      </c>
      <c r="D1535" t="n">
        <v>22</v>
      </c>
      <c r="E1535" t="inlineStr">
        <is>
          <t>A0051</t>
        </is>
      </c>
      <c r="F1535" t="inlineStr">
        <is>
          <t>臺北市大安區大安路一段224巷-仁慈公園</t>
        </is>
      </c>
      <c r="G1535" t="n">
        <v>25.0342</v>
      </c>
      <c r="H1535" t="n">
        <v>121.545975</v>
      </c>
      <c r="I1535" t="n">
        <v>8</v>
      </c>
      <c r="J1535" t="n">
        <v>3</v>
      </c>
      <c r="K1535" t="n">
        <v>408.3</v>
      </c>
      <c r="L1535" t="inlineStr">
        <is>
          <t>Primary</t>
        </is>
      </c>
    </row>
    <row r="1536">
      <c r="A1536" t="n">
        <v>3</v>
      </c>
      <c r="B1536" s="30" t="inlineStr">
        <is>
          <t>S10</t>
        </is>
      </c>
      <c r="C1536" t="inlineStr">
        <is>
          <t>PZ-D</t>
        </is>
      </c>
      <c r="D1536" t="n">
        <v>23</v>
      </c>
      <c r="E1536" t="inlineStr">
        <is>
          <t>A0049</t>
        </is>
      </c>
      <c r="F1536" t="inlineStr">
        <is>
          <t>臺北市大安區大安路1段176巷7號</t>
        </is>
      </c>
      <c r="G1536" t="n">
        <v>25.036439</v>
      </c>
      <c r="H1536" t="n">
        <v>121.545486</v>
      </c>
      <c r="I1536" t="n">
        <v>8</v>
      </c>
      <c r="J1536" t="n">
        <v>3</v>
      </c>
      <c r="K1536" t="n">
        <v>419.3</v>
      </c>
      <c r="L1536" t="inlineStr">
        <is>
          <t>Primary</t>
        </is>
      </c>
    </row>
    <row r="1537">
      <c r="A1537" t="n">
        <v>3</v>
      </c>
      <c r="B1537" s="30" t="inlineStr">
        <is>
          <t>S10</t>
        </is>
      </c>
      <c r="C1537" t="inlineStr">
        <is>
          <t>PZ-D</t>
        </is>
      </c>
      <c r="D1537" t="n">
        <v>24</v>
      </c>
      <c r="E1537" t="inlineStr">
        <is>
          <t>A0048</t>
        </is>
      </c>
      <c r="F1537" t="inlineStr">
        <is>
          <t>臺北市大安區大安路１段176巷23號旁</t>
        </is>
      </c>
      <c r="G1537" t="n">
        <v>25.036791</v>
      </c>
      <c r="H1537" t="n">
        <v>121.545083</v>
      </c>
      <c r="I1537" t="n">
        <v>8</v>
      </c>
      <c r="J1537" t="n">
        <v>2</v>
      </c>
      <c r="K1537" t="n">
        <v>429.3</v>
      </c>
      <c r="L1537" t="inlineStr">
        <is>
          <t>Primary</t>
        </is>
      </c>
    </row>
    <row r="1538">
      <c r="A1538" t="n">
        <v>3</v>
      </c>
      <c r="B1538" s="30" t="inlineStr">
        <is>
          <t>S10</t>
        </is>
      </c>
      <c r="C1538" t="inlineStr">
        <is>
          <t>PZ-D</t>
        </is>
      </c>
      <c r="D1538" t="n">
        <v>25</v>
      </c>
      <c r="E1538" t="inlineStr">
        <is>
          <t>A0068</t>
        </is>
      </c>
      <c r="F1538" t="inlineStr">
        <is>
          <t>臺北市大安區敦化南路二段14號</t>
        </is>
      </c>
      <c r="G1538" t="n">
        <v>25.032795</v>
      </c>
      <c r="H1538" t="n">
        <v>121.548572</v>
      </c>
      <c r="I1538" t="n">
        <v>8</v>
      </c>
      <c r="J1538" t="n">
        <v>3</v>
      </c>
      <c r="K1538" t="n">
        <v>440.3</v>
      </c>
      <c r="L1538" t="inlineStr">
        <is>
          <t>Primary</t>
        </is>
      </c>
    </row>
    <row r="1539">
      <c r="A1539" t="n">
        <v>3</v>
      </c>
      <c r="B1539" s="30" t="inlineStr">
        <is>
          <t>S10</t>
        </is>
      </c>
      <c r="C1539" t="inlineStr">
        <is>
          <t>PZ-D</t>
        </is>
      </c>
      <c r="D1539" t="n">
        <v>26</v>
      </c>
      <c r="E1539" t="inlineStr">
        <is>
          <t>A0050</t>
        </is>
      </c>
      <c r="F1539" t="inlineStr">
        <is>
          <t>臺北市大安區大安路2段63號</t>
        </is>
      </c>
      <c r="G1539" t="n">
        <v>25.030903</v>
      </c>
      <c r="H1539" t="n">
        <v>121.547855</v>
      </c>
      <c r="I1539" t="n">
        <v>16</v>
      </c>
      <c r="J1539" t="n">
        <v>3</v>
      </c>
      <c r="K1539" t="n">
        <v>459.3</v>
      </c>
      <c r="L1539" t="inlineStr">
        <is>
          <t>Primary</t>
        </is>
      </c>
    </row>
    <row r="1540">
      <c r="A1540" t="n">
        <v>3</v>
      </c>
      <c r="B1540" s="30" t="inlineStr">
        <is>
          <t>S10</t>
        </is>
      </c>
      <c r="C1540" t="inlineStr">
        <is>
          <t>PZ-D</t>
        </is>
      </c>
      <c r="D1540" t="n">
        <v>27</v>
      </c>
      <c r="E1540" t="inlineStr">
        <is>
          <t>A0058</t>
        </is>
      </c>
      <c r="F1540" t="inlineStr">
        <is>
          <t>臺北市大安區安和路二段187號</t>
        </is>
      </c>
      <c r="G1540" t="n">
        <v>25.026945</v>
      </c>
      <c r="H1540" t="n">
        <v>121.549902</v>
      </c>
      <c r="I1540" t="n">
        <v>16</v>
      </c>
      <c r="J1540" t="n">
        <v>3</v>
      </c>
      <c r="K1540" t="n">
        <v>478.3</v>
      </c>
      <c r="L1540" t="inlineStr">
        <is>
          <t>Primary</t>
        </is>
      </c>
    </row>
    <row r="1541">
      <c r="A1541" t="n">
        <v>3</v>
      </c>
      <c r="B1541" s="30" t="inlineStr">
        <is>
          <t>S10</t>
        </is>
      </c>
      <c r="C1541" t="inlineStr">
        <is>
          <t>PZ-D</t>
        </is>
      </c>
      <c r="D1541" t="n">
        <v>28</v>
      </c>
      <c r="E1541" t="inlineStr">
        <is>
          <t>A0055</t>
        </is>
      </c>
      <c r="F1541" t="inlineStr">
        <is>
          <t>臺北市大安區四維路228巷巷口-精誠詠樂</t>
        </is>
      </c>
      <c r="G1541" t="n">
        <v>25.025539</v>
      </c>
      <c r="H1541" t="n">
        <v>121.547652</v>
      </c>
      <c r="I1541" t="n">
        <v>8</v>
      </c>
      <c r="J1541" t="n">
        <v>3</v>
      </c>
      <c r="K1541" t="n">
        <v>489.3</v>
      </c>
      <c r="L1541" t="inlineStr">
        <is>
          <t>Primary</t>
        </is>
      </c>
    </row>
    <row r="1542">
      <c r="A1542" t="n">
        <v>3</v>
      </c>
      <c r="B1542" s="30" t="inlineStr">
        <is>
          <t>S10</t>
        </is>
      </c>
      <c r="C1542" t="inlineStr">
        <is>
          <t>PZ-D</t>
        </is>
      </c>
      <c r="D1542" t="n">
        <v>29</v>
      </c>
      <c r="E1542" t="inlineStr">
        <is>
          <t>A0065</t>
        </is>
      </c>
      <c r="F1542" t="inlineStr">
        <is>
          <t>臺北市大安區基隆路2段210~220號</t>
        </is>
      </c>
      <c r="G1542" t="n">
        <v>25.023756</v>
      </c>
      <c r="H1542" t="n">
        <v>121.551769</v>
      </c>
      <c r="I1542" t="n">
        <v>8</v>
      </c>
      <c r="J1542" t="n">
        <v>3</v>
      </c>
      <c r="K1542" t="n">
        <v>500.3</v>
      </c>
      <c r="L1542" t="inlineStr">
        <is>
          <t>Primary</t>
        </is>
      </c>
    </row>
    <row r="1543">
      <c r="A1543" t="n">
        <v>4</v>
      </c>
      <c r="B1543" s="30" t="inlineStr">
        <is>
          <t>S10</t>
        </is>
      </c>
      <c r="C1543" t="inlineStr">
        <is>
          <t>PZ-D</t>
        </is>
      </c>
      <c r="D1543" t="n">
        <v>1</v>
      </c>
      <c r="E1543" t="inlineStr">
        <is>
          <t>F0275</t>
        </is>
      </c>
      <c r="F1543" t="inlineStr">
        <is>
          <t>新北市新店區禾豐七路113巷36號(逸品琚社區D02戶)</t>
        </is>
      </c>
      <c r="G1543" t="n">
        <v>24.932284</v>
      </c>
      <c r="H1543" t="n">
        <v>121.504467</v>
      </c>
      <c r="I1543" t="n">
        <v>8</v>
      </c>
      <c r="J1543" t="n">
        <v>28.1</v>
      </c>
      <c r="K1543" t="n">
        <v>36.1</v>
      </c>
      <c r="L1543" t="inlineStr">
        <is>
          <t>Primary</t>
        </is>
      </c>
    </row>
    <row r="1544">
      <c r="A1544" t="n">
        <v>4</v>
      </c>
      <c r="B1544" s="30" t="inlineStr">
        <is>
          <t>S10</t>
        </is>
      </c>
      <c r="C1544" t="inlineStr">
        <is>
          <t>PZ-D</t>
        </is>
      </c>
      <c r="D1544" t="n">
        <v>2</v>
      </c>
      <c r="E1544" t="inlineStr">
        <is>
          <t>F0279</t>
        </is>
      </c>
      <c r="F1544" t="inlineStr">
        <is>
          <t>新北市新店區能仁街115巷旁工地</t>
        </is>
      </c>
      <c r="G1544" t="n">
        <v>24.9548</v>
      </c>
      <c r="H1544" t="n">
        <v>121.540944</v>
      </c>
      <c r="I1544" t="n">
        <v>16</v>
      </c>
      <c r="J1544" t="n">
        <v>10.7</v>
      </c>
      <c r="K1544" t="n">
        <v>62.8</v>
      </c>
      <c r="L1544" t="inlineStr">
        <is>
          <t>Primary</t>
        </is>
      </c>
    </row>
    <row r="1545">
      <c r="A1545" t="n">
        <v>4</v>
      </c>
      <c r="B1545" s="30" t="inlineStr">
        <is>
          <t>S10</t>
        </is>
      </c>
      <c r="C1545" t="inlineStr">
        <is>
          <t>PZ-D</t>
        </is>
      </c>
      <c r="D1545" t="n">
        <v>3</v>
      </c>
      <c r="E1545" t="inlineStr">
        <is>
          <t>F0277</t>
        </is>
      </c>
      <c r="F1545" t="inlineStr">
        <is>
          <t>新北市新店區秀水路31號旁工地</t>
        </is>
      </c>
      <c r="G1545" t="n">
        <v>24.95520166666667</v>
      </c>
      <c r="H1545" t="n">
        <v>121.5545833333333</v>
      </c>
      <c r="I1545" t="n">
        <v>24</v>
      </c>
      <c r="J1545" t="n">
        <v>3.3</v>
      </c>
      <c r="K1545" t="n">
        <v>90.09999999999999</v>
      </c>
      <c r="L1545" t="inlineStr">
        <is>
          <t>Primary</t>
        </is>
      </c>
    </row>
    <row r="1546">
      <c r="A1546" t="n">
        <v>4</v>
      </c>
      <c r="B1546" s="30" t="inlineStr">
        <is>
          <t>S10</t>
        </is>
      </c>
      <c r="C1546" t="inlineStr">
        <is>
          <t>PZ-D</t>
        </is>
      </c>
      <c r="D1546" t="n">
        <v>4</v>
      </c>
      <c r="E1546" t="inlineStr">
        <is>
          <t>F0260</t>
        </is>
      </c>
      <c r="F1546" t="inlineStr">
        <is>
          <t>新北市新店區三民路159巷19弄1號</t>
        </is>
      </c>
      <c r="G1546" t="n">
        <v>24.97392</v>
      </c>
      <c r="H1546" t="n">
        <v>121.532634</v>
      </c>
      <c r="I1546" t="n">
        <v>8</v>
      </c>
      <c r="J1546" t="n">
        <v>7.3</v>
      </c>
      <c r="K1546" t="n">
        <v>105.4</v>
      </c>
      <c r="L1546" t="inlineStr">
        <is>
          <t>Primary</t>
        </is>
      </c>
    </row>
    <row r="1547">
      <c r="A1547" t="n">
        <v>4</v>
      </c>
      <c r="B1547" s="30" t="inlineStr">
        <is>
          <t>S10</t>
        </is>
      </c>
      <c r="C1547" t="inlineStr">
        <is>
          <t>PZ-D</t>
        </is>
      </c>
      <c r="D1547" t="n">
        <v>5</v>
      </c>
      <c r="E1547" t="inlineStr">
        <is>
          <t>F0281</t>
        </is>
      </c>
      <c r="F1547" t="inlineStr">
        <is>
          <t>新北市新店區斯馨路與日月街交叉口工地</t>
        </is>
      </c>
      <c r="G1547" t="n">
        <v>24.976561</v>
      </c>
      <c r="H1547" t="n">
        <v>121.530264</v>
      </c>
      <c r="I1547" t="n">
        <v>8</v>
      </c>
      <c r="J1547" t="n">
        <v>3</v>
      </c>
      <c r="K1547" t="n">
        <v>116.4</v>
      </c>
      <c r="L1547" t="inlineStr">
        <is>
          <t>Primary</t>
        </is>
      </c>
    </row>
    <row r="1548">
      <c r="A1548" t="n">
        <v>4</v>
      </c>
      <c r="B1548" s="30" t="inlineStr">
        <is>
          <t>S10</t>
        </is>
      </c>
      <c r="C1548" t="inlineStr">
        <is>
          <t>PZ-D</t>
        </is>
      </c>
      <c r="D1548" t="n">
        <v>6</v>
      </c>
      <c r="E1548" t="inlineStr">
        <is>
          <t>F0280</t>
        </is>
      </c>
      <c r="F1548" t="inlineStr">
        <is>
          <t>新北市新店區斯馨路71巷轉角</t>
        </is>
      </c>
      <c r="G1548" t="n">
        <v>24.978075</v>
      </c>
      <c r="H1548" t="n">
        <v>121.530809</v>
      </c>
      <c r="I1548" t="n">
        <v>8</v>
      </c>
      <c r="J1548" t="n">
        <v>3</v>
      </c>
      <c r="K1548" t="n">
        <v>127.4</v>
      </c>
      <c r="L1548" t="inlineStr">
        <is>
          <t>Primary</t>
        </is>
      </c>
    </row>
    <row r="1549">
      <c r="A1549" t="n">
        <v>4</v>
      </c>
      <c r="B1549" s="30" t="inlineStr">
        <is>
          <t>S10</t>
        </is>
      </c>
      <c r="C1549" t="inlineStr">
        <is>
          <t>PZ-D</t>
        </is>
      </c>
      <c r="D1549" t="n">
        <v>7</v>
      </c>
      <c r="E1549" t="inlineStr">
        <is>
          <t>F0269</t>
        </is>
      </c>
      <c r="F1549" t="inlineStr">
        <is>
          <t>新北市新店區中央路16號</t>
        </is>
      </c>
      <c r="G1549" t="n">
        <v>24.979</v>
      </c>
      <c r="H1549" t="n">
        <v>121.533572</v>
      </c>
      <c r="I1549" t="n">
        <v>8</v>
      </c>
      <c r="J1549" t="n">
        <v>3</v>
      </c>
      <c r="K1549" t="n">
        <v>138.4</v>
      </c>
      <c r="L1549" t="inlineStr">
        <is>
          <t>Primary</t>
        </is>
      </c>
    </row>
    <row r="1550">
      <c r="A1550" t="n">
        <v>4</v>
      </c>
      <c r="B1550" s="30" t="inlineStr">
        <is>
          <t>S10</t>
        </is>
      </c>
      <c r="C1550" t="inlineStr">
        <is>
          <t>PZ-D</t>
        </is>
      </c>
      <c r="D1550" t="n">
        <v>8</v>
      </c>
      <c r="E1550" t="inlineStr">
        <is>
          <t>F0285</t>
        </is>
      </c>
      <c r="F1550" t="inlineStr">
        <is>
          <t>新北市新店區寶安街56號</t>
        </is>
      </c>
      <c r="G1550" t="n">
        <v>24.983991</v>
      </c>
      <c r="H1550" t="n">
        <v>121.541761</v>
      </c>
      <c r="I1550" t="n">
        <v>16</v>
      </c>
      <c r="J1550" t="n">
        <v>3</v>
      </c>
      <c r="K1550" t="n">
        <v>157.4</v>
      </c>
      <c r="L1550" t="inlineStr">
        <is>
          <t>Primary</t>
        </is>
      </c>
    </row>
    <row r="1551">
      <c r="A1551" t="n">
        <v>4</v>
      </c>
      <c r="B1551" s="30" t="inlineStr">
        <is>
          <t>S10</t>
        </is>
      </c>
      <c r="C1551" t="inlineStr">
        <is>
          <t>PZ-D</t>
        </is>
      </c>
      <c r="D1551" t="n">
        <v>9</v>
      </c>
      <c r="E1551" t="inlineStr">
        <is>
          <t>A0142</t>
        </is>
      </c>
      <c r="F1551" t="inlineStr">
        <is>
          <t>臺北市文山區景美街5巷23號</t>
        </is>
      </c>
      <c r="G1551" t="n">
        <v>24.993147</v>
      </c>
      <c r="H1551" t="n">
        <v>121.54235</v>
      </c>
      <c r="I1551" t="n">
        <v>8</v>
      </c>
      <c r="J1551" t="n">
        <v>3</v>
      </c>
      <c r="K1551" t="n">
        <v>168.4</v>
      </c>
      <c r="L1551" t="inlineStr">
        <is>
          <t>Primary</t>
        </is>
      </c>
    </row>
    <row r="1552">
      <c r="A1552" t="n">
        <v>4</v>
      </c>
      <c r="B1552" s="30" t="inlineStr">
        <is>
          <t>S10</t>
        </is>
      </c>
      <c r="C1552" t="inlineStr">
        <is>
          <t>PZ-D</t>
        </is>
      </c>
      <c r="D1552" t="n">
        <v>10</v>
      </c>
      <c r="E1552" t="inlineStr">
        <is>
          <t>A0141</t>
        </is>
      </c>
      <c r="F1552" t="inlineStr">
        <is>
          <t>臺北市文山區景美街171號</t>
        </is>
      </c>
      <c r="G1552" t="n">
        <v>24.997816</v>
      </c>
      <c r="H1552" t="n">
        <v>121.547855</v>
      </c>
      <c r="I1552" t="n">
        <v>8</v>
      </c>
      <c r="J1552" t="n">
        <v>3</v>
      </c>
      <c r="K1552" t="n">
        <v>179.4</v>
      </c>
      <c r="L1552" t="inlineStr">
        <is>
          <t>Primary</t>
        </is>
      </c>
    </row>
    <row r="1553">
      <c r="A1553" t="n">
        <v>4</v>
      </c>
      <c r="B1553" s="30" t="inlineStr">
        <is>
          <t>S10</t>
        </is>
      </c>
      <c r="C1553" t="inlineStr">
        <is>
          <t>PZ-D</t>
        </is>
      </c>
      <c r="D1553" t="n">
        <v>11</v>
      </c>
      <c r="E1553" t="inlineStr">
        <is>
          <t>A0135</t>
        </is>
      </c>
      <c r="F1553" t="inlineStr">
        <is>
          <t>臺北市文山區木柵路2段200號旁</t>
        </is>
      </c>
      <c r="G1553" t="n">
        <v>24.988911</v>
      </c>
      <c r="H1553" t="n">
        <v>121.562339</v>
      </c>
      <c r="I1553" t="n">
        <v>24</v>
      </c>
      <c r="J1553" t="n">
        <v>4.2</v>
      </c>
      <c r="K1553" t="n">
        <v>207.6</v>
      </c>
      <c r="L1553" t="inlineStr">
        <is>
          <t>Primary</t>
        </is>
      </c>
    </row>
    <row r="1554">
      <c r="A1554" t="n">
        <v>4</v>
      </c>
      <c r="B1554" s="30" t="inlineStr">
        <is>
          <t>S10</t>
        </is>
      </c>
      <c r="C1554" t="inlineStr">
        <is>
          <t>PZ-D</t>
        </is>
      </c>
      <c r="D1554" t="n">
        <v>12</v>
      </c>
      <c r="E1554" t="inlineStr">
        <is>
          <t>A0146</t>
        </is>
      </c>
      <c r="F1554" t="inlineStr">
        <is>
          <t>臺北市文山區興隆路４段109巷工地-電聯定位</t>
        </is>
      </c>
      <c r="G1554" t="n">
        <v>24.987186</v>
      </c>
      <c r="H1554" t="n">
        <v>121.561656</v>
      </c>
      <c r="I1554" t="n">
        <v>48</v>
      </c>
      <c r="J1554" t="n">
        <v>3</v>
      </c>
      <c r="K1554" t="n">
        <v>258.6</v>
      </c>
      <c r="L1554" t="inlineStr">
        <is>
          <t>Primary</t>
        </is>
      </c>
    </row>
    <row r="1555">
      <c r="A1555" t="n">
        <v>4</v>
      </c>
      <c r="B1555" s="30" t="inlineStr">
        <is>
          <t>S10</t>
        </is>
      </c>
      <c r="C1555" t="inlineStr">
        <is>
          <t>PZ-D</t>
        </is>
      </c>
      <c r="D1555" t="n">
        <v>13</v>
      </c>
      <c r="E1555" t="inlineStr">
        <is>
          <t>A0134</t>
        </is>
      </c>
      <c r="F1555" t="inlineStr">
        <is>
          <t>臺北市文山區久康街45號</t>
        </is>
      </c>
      <c r="G1555" t="n">
        <v>24.989222</v>
      </c>
      <c r="H1555" t="n">
        <v>121.565231</v>
      </c>
      <c r="I1555" t="n">
        <v>8</v>
      </c>
      <c r="J1555" t="n">
        <v>3</v>
      </c>
      <c r="K1555" t="n">
        <v>269.6</v>
      </c>
      <c r="L1555" t="inlineStr">
        <is>
          <t>Primary</t>
        </is>
      </c>
    </row>
    <row r="1556">
      <c r="A1556" t="n">
        <v>4</v>
      </c>
      <c r="B1556" s="30" t="inlineStr">
        <is>
          <t>S10</t>
        </is>
      </c>
      <c r="C1556" t="inlineStr">
        <is>
          <t>PZ-D</t>
        </is>
      </c>
      <c r="D1556" t="n">
        <v>14</v>
      </c>
      <c r="E1556" t="inlineStr">
        <is>
          <t>A0138</t>
        </is>
      </c>
      <c r="F1556" t="inlineStr">
        <is>
          <t>臺北市文山區秀明路二段163巷工地</t>
        </is>
      </c>
      <c r="G1556" t="n">
        <v>24.990791</v>
      </c>
      <c r="H1556" t="n">
        <v>121.57762</v>
      </c>
      <c r="I1556" t="n">
        <v>42</v>
      </c>
      <c r="J1556" t="n">
        <v>3</v>
      </c>
      <c r="K1556" t="n">
        <v>314.7</v>
      </c>
      <c r="L1556" t="inlineStr">
        <is>
          <t>Primary</t>
        </is>
      </c>
    </row>
    <row r="1557">
      <c r="A1557" t="n">
        <v>4</v>
      </c>
      <c r="B1557" s="30" t="inlineStr">
        <is>
          <t>S10</t>
        </is>
      </c>
      <c r="C1557" t="inlineStr">
        <is>
          <t>PZ-D</t>
        </is>
      </c>
      <c r="D1557" t="n">
        <v>15</v>
      </c>
      <c r="E1557" t="inlineStr">
        <is>
          <t>A0145</t>
        </is>
      </c>
      <c r="F1557" t="inlineStr">
        <is>
          <t>臺北市文山區萬壽路75巷口</t>
        </is>
      </c>
      <c r="G1557" t="n">
        <v>24.984883</v>
      </c>
      <c r="H1557" t="n">
        <v>121.588269</v>
      </c>
      <c r="I1557" t="n">
        <v>8</v>
      </c>
      <c r="J1557" t="n">
        <v>3</v>
      </c>
      <c r="K1557" t="n">
        <v>325.7</v>
      </c>
      <c r="L1557" t="inlineStr">
        <is>
          <t>Primary</t>
        </is>
      </c>
    </row>
    <row r="1558">
      <c r="A1558" t="n">
        <v>4</v>
      </c>
      <c r="B1558" s="30" t="inlineStr">
        <is>
          <t>S10</t>
        </is>
      </c>
      <c r="C1558" t="inlineStr">
        <is>
          <t>PZ-D</t>
        </is>
      </c>
      <c r="D1558" t="n">
        <v>16</v>
      </c>
      <c r="E1558" t="inlineStr">
        <is>
          <t>A0193</t>
        </is>
      </c>
      <c r="F1558" t="inlineStr">
        <is>
          <t>臺北市信義區松德路88號-2期</t>
        </is>
      </c>
      <c r="G1558" t="n">
        <v>25.038144</v>
      </c>
      <c r="H1558" t="n">
        <v>121.576323</v>
      </c>
      <c r="I1558" t="n">
        <v>8</v>
      </c>
      <c r="J1558" t="n">
        <v>14.5</v>
      </c>
      <c r="K1558" t="n">
        <v>348.2</v>
      </c>
      <c r="L1558" t="inlineStr">
        <is>
          <t>Primary</t>
        </is>
      </c>
    </row>
    <row r="1559">
      <c r="A1559" t="n">
        <v>4</v>
      </c>
      <c r="B1559" s="30" t="inlineStr">
        <is>
          <t>S10</t>
        </is>
      </c>
      <c r="C1559" t="inlineStr">
        <is>
          <t>PZ-D</t>
        </is>
      </c>
      <c r="D1559" t="n">
        <v>17</v>
      </c>
      <c r="E1559" t="inlineStr">
        <is>
          <t>A0191</t>
        </is>
      </c>
      <c r="F1559" t="inlineStr">
        <is>
          <t>臺北市信義區忠孝東路５段345巷12號</t>
        </is>
      </c>
      <c r="G1559" t="n">
        <v>25.041814</v>
      </c>
      <c r="H1559" t="n">
        <v>121.573973</v>
      </c>
      <c r="I1559" t="n">
        <v>8</v>
      </c>
      <c r="J1559" t="n">
        <v>3</v>
      </c>
      <c r="K1559" t="n">
        <v>359.2</v>
      </c>
      <c r="L1559" t="inlineStr">
        <is>
          <t>Primary</t>
        </is>
      </c>
    </row>
    <row r="1560">
      <c r="A1560" t="n">
        <v>4</v>
      </c>
      <c r="B1560" s="30" t="inlineStr">
        <is>
          <t>S10</t>
        </is>
      </c>
      <c r="C1560" t="inlineStr">
        <is>
          <t>PZ-D</t>
        </is>
      </c>
      <c r="D1560" t="n">
        <v>18</v>
      </c>
      <c r="E1560" t="inlineStr">
        <is>
          <t>A0188</t>
        </is>
      </c>
      <c r="F1560" t="inlineStr">
        <is>
          <t>臺北市信義區永吉路328號</t>
        </is>
      </c>
      <c r="G1560" t="n">
        <v>25.04485</v>
      </c>
      <c r="H1560" t="n">
        <v>121.576192</v>
      </c>
      <c r="I1560" t="n">
        <v>16</v>
      </c>
      <c r="J1560" t="n">
        <v>3</v>
      </c>
      <c r="K1560" t="n">
        <v>378.2</v>
      </c>
      <c r="L1560" t="inlineStr">
        <is>
          <t>Primary</t>
        </is>
      </c>
    </row>
    <row r="1561">
      <c r="A1561" t="n">
        <v>4</v>
      </c>
      <c r="B1561" s="30" t="inlineStr">
        <is>
          <t>S10</t>
        </is>
      </c>
      <c r="C1561" t="inlineStr">
        <is>
          <t>PZ-D</t>
        </is>
      </c>
      <c r="D1561" t="n">
        <v>19</v>
      </c>
      <c r="E1561" t="inlineStr">
        <is>
          <t>A0197</t>
        </is>
      </c>
      <c r="F1561" t="inlineStr">
        <is>
          <t>臺北市南港區市民大道７段與玉成街交岔口</t>
        </is>
      </c>
      <c r="G1561" t="n">
        <v>25.0490015</v>
      </c>
      <c r="H1561" t="n">
        <v>121.5823395</v>
      </c>
      <c r="I1561" t="n">
        <v>31</v>
      </c>
      <c r="J1561" t="n">
        <v>3</v>
      </c>
      <c r="K1561" t="n">
        <v>412.2</v>
      </c>
      <c r="L1561" t="inlineStr">
        <is>
          <t>Primary</t>
        </is>
      </c>
    </row>
    <row r="1562">
      <c r="A1562" t="n">
        <v>4</v>
      </c>
      <c r="B1562" s="30" t="inlineStr">
        <is>
          <t>S10</t>
        </is>
      </c>
      <c r="C1562" t="inlineStr">
        <is>
          <t>PZ-D</t>
        </is>
      </c>
      <c r="D1562" t="n">
        <v>20</v>
      </c>
      <c r="E1562" t="inlineStr">
        <is>
          <t>A0198</t>
        </is>
      </c>
      <c r="F1562" t="inlineStr">
        <is>
          <t>臺北市南港區市民大道七段39號對面工地</t>
        </is>
      </c>
      <c r="G1562" t="n">
        <v>25.049286</v>
      </c>
      <c r="H1562" t="n">
        <v>121.582634</v>
      </c>
      <c r="I1562" t="n">
        <v>8</v>
      </c>
      <c r="J1562" t="n">
        <v>2</v>
      </c>
      <c r="K1562" t="n">
        <v>422.2</v>
      </c>
      <c r="L1562" t="inlineStr">
        <is>
          <t>Primary</t>
        </is>
      </c>
    </row>
    <row r="1563">
      <c r="A1563" t="n">
        <v>4</v>
      </c>
      <c r="B1563" s="30" t="inlineStr">
        <is>
          <t>S10</t>
        </is>
      </c>
      <c r="C1563" t="inlineStr">
        <is>
          <t>PZ-D</t>
        </is>
      </c>
      <c r="D1563" t="n">
        <v>21</v>
      </c>
      <c r="E1563" t="inlineStr">
        <is>
          <t>A0200</t>
        </is>
      </c>
      <c r="F1563" t="inlineStr">
        <is>
          <t>臺北市南港區忠孝東路六段39號-後方空地</t>
        </is>
      </c>
      <c r="G1563" t="n">
        <v>25.048761</v>
      </c>
      <c r="H1563" t="n">
        <v>121.583975</v>
      </c>
      <c r="I1563" t="n">
        <v>8</v>
      </c>
      <c r="J1563" t="n">
        <v>3</v>
      </c>
      <c r="K1563" t="n">
        <v>433.2</v>
      </c>
      <c r="L1563" t="inlineStr">
        <is>
          <t>Primary</t>
        </is>
      </c>
    </row>
    <row r="1564">
      <c r="A1564" t="n">
        <v>4</v>
      </c>
      <c r="B1564" s="30" t="inlineStr">
        <is>
          <t>S10</t>
        </is>
      </c>
      <c r="C1564" t="inlineStr">
        <is>
          <t>PZ-D</t>
        </is>
      </c>
      <c r="D1564" t="n">
        <v>22</v>
      </c>
      <c r="E1564" t="inlineStr">
        <is>
          <t>A0202</t>
        </is>
      </c>
      <c r="F1564" t="inlineStr">
        <is>
          <t>臺北市南港區東新街3號對面工地</t>
        </is>
      </c>
      <c r="G1564" t="n">
        <v>25.048827</v>
      </c>
      <c r="H1564" t="n">
        <v>121.584405</v>
      </c>
      <c r="I1564" t="n">
        <v>8</v>
      </c>
      <c r="J1564" t="n">
        <v>2</v>
      </c>
      <c r="K1564" t="n">
        <v>443.2</v>
      </c>
      <c r="L1564" t="inlineStr">
        <is>
          <t>Primary</t>
        </is>
      </c>
    </row>
    <row r="1565">
      <c r="A1565" t="n">
        <v>4</v>
      </c>
      <c r="B1565" s="30" t="inlineStr">
        <is>
          <t>S10</t>
        </is>
      </c>
      <c r="C1565" t="inlineStr">
        <is>
          <t>PZ-D</t>
        </is>
      </c>
      <c r="D1565" t="n">
        <v>23</v>
      </c>
      <c r="E1565" t="inlineStr">
        <is>
          <t>A0203</t>
        </is>
      </c>
      <c r="F1565" t="inlineStr">
        <is>
          <t>臺北市南港區東新街77巷7號旁</t>
        </is>
      </c>
      <c r="G1565" t="n">
        <v>25.047216</v>
      </c>
      <c r="H1565" t="n">
        <v>121.588402</v>
      </c>
      <c r="I1565" t="n">
        <v>16</v>
      </c>
      <c r="J1565" t="n">
        <v>3</v>
      </c>
      <c r="K1565" t="n">
        <v>462.2</v>
      </c>
      <c r="L1565" t="inlineStr">
        <is>
          <t>Primary</t>
        </is>
      </c>
    </row>
    <row r="1566">
      <c r="A1566" t="n">
        <v>4</v>
      </c>
      <c r="B1566" s="30" t="inlineStr">
        <is>
          <t>S10</t>
        </is>
      </c>
      <c r="C1566" t="inlineStr">
        <is>
          <t>PZ-D</t>
        </is>
      </c>
      <c r="D1566" t="n">
        <v>24</v>
      </c>
      <c r="E1566" t="inlineStr">
        <is>
          <t>A0199</t>
        </is>
      </c>
      <c r="F1566" t="inlineStr">
        <is>
          <t>臺北市南港區成福路121巷23號</t>
        </is>
      </c>
      <c r="G1566" t="n">
        <v>25.042611</v>
      </c>
      <c r="H1566" t="n">
        <v>121.588333</v>
      </c>
      <c r="I1566" t="n">
        <v>8</v>
      </c>
      <c r="J1566" t="n">
        <v>3</v>
      </c>
      <c r="K1566" t="n">
        <v>473.2</v>
      </c>
      <c r="L1566" t="inlineStr">
        <is>
          <t>Primary</t>
        </is>
      </c>
    </row>
    <row r="1567">
      <c r="A1567" t="n">
        <v>4</v>
      </c>
      <c r="B1567" s="30" t="inlineStr">
        <is>
          <t>S10</t>
        </is>
      </c>
      <c r="C1567" t="inlineStr">
        <is>
          <t>PZ-D</t>
        </is>
      </c>
      <c r="D1567" t="n">
        <v>25</v>
      </c>
      <c r="E1567" t="inlineStr">
        <is>
          <t>A0201</t>
        </is>
      </c>
      <c r="F1567" t="inlineStr">
        <is>
          <t>臺北市南港區昆陽街161號旁工地</t>
        </is>
      </c>
      <c r="G1567" t="n">
        <v>25.048439</v>
      </c>
      <c r="H1567" t="n">
        <v>121.594964</v>
      </c>
      <c r="I1567" t="n">
        <v>16</v>
      </c>
      <c r="J1567" t="n">
        <v>3</v>
      </c>
      <c r="K1567" t="n">
        <v>492.2</v>
      </c>
      <c r="L1567" t="inlineStr">
        <is>
          <t>Primary</t>
        </is>
      </c>
    </row>
    <row r="1568">
      <c r="A1568" t="n">
        <v>5</v>
      </c>
      <c r="B1568" s="30" t="inlineStr">
        <is>
          <t>S10</t>
        </is>
      </c>
      <c r="C1568" t="inlineStr">
        <is>
          <t>PZ-D</t>
        </is>
      </c>
      <c r="D1568" t="n">
        <v>1</v>
      </c>
      <c r="E1568" t="inlineStr">
        <is>
          <t>A0078</t>
        </is>
      </c>
      <c r="F1568" t="inlineStr">
        <is>
          <t>臺北市中正區仁愛路二段96號旁工地</t>
        </is>
      </c>
      <c r="G1568" t="n">
        <v>25.03802975</v>
      </c>
      <c r="H1568" t="n">
        <v>121.531557</v>
      </c>
      <c r="I1568" t="n">
        <v>62</v>
      </c>
      <c r="J1568" t="n">
        <v>34</v>
      </c>
      <c r="K1568" t="n">
        <v>96</v>
      </c>
      <c r="L1568" t="inlineStr">
        <is>
          <t>Primary</t>
        </is>
      </c>
    </row>
    <row r="1569">
      <c r="A1569" t="n">
        <v>5</v>
      </c>
      <c r="B1569" s="30" t="inlineStr">
        <is>
          <t>S10</t>
        </is>
      </c>
      <c r="C1569" t="inlineStr">
        <is>
          <t>PZ-D</t>
        </is>
      </c>
      <c r="D1569" t="n">
        <v>2</v>
      </c>
      <c r="E1569" t="inlineStr">
        <is>
          <t>A0054</t>
        </is>
      </c>
      <c r="F1569" t="inlineStr">
        <is>
          <t>臺北市大安區仁愛路三段22號-大安區幸安國民小學對面</t>
        </is>
      </c>
      <c r="G1569" t="n">
        <v>25.037733</v>
      </c>
      <c r="H1569" t="n">
        <v>121.534786</v>
      </c>
      <c r="I1569" t="n">
        <v>8</v>
      </c>
      <c r="J1569" t="n">
        <v>3</v>
      </c>
      <c r="K1569" t="n">
        <v>107</v>
      </c>
      <c r="L1569" t="inlineStr">
        <is>
          <t>Primary</t>
        </is>
      </c>
    </row>
    <row r="1570">
      <c r="A1570" t="n">
        <v>5</v>
      </c>
      <c r="B1570" s="30" t="inlineStr">
        <is>
          <t>S10</t>
        </is>
      </c>
      <c r="C1570" t="inlineStr">
        <is>
          <t>PZ-D</t>
        </is>
      </c>
      <c r="D1570" t="n">
        <v>3</v>
      </c>
      <c r="E1570" t="inlineStr">
        <is>
          <t>A0069</t>
        </is>
      </c>
      <c r="F1570" t="inlineStr">
        <is>
          <t>臺北市大安區新生南路1段97巷11號</t>
        </is>
      </c>
      <c r="G1570" t="n">
        <v>25.04113</v>
      </c>
      <c r="H1570" t="n">
        <v>121.534864</v>
      </c>
      <c r="I1570" t="n">
        <v>8</v>
      </c>
      <c r="J1570" t="n">
        <v>3</v>
      </c>
      <c r="K1570" t="n">
        <v>118</v>
      </c>
      <c r="L1570" t="inlineStr">
        <is>
          <t>Primary</t>
        </is>
      </c>
    </row>
    <row r="1571">
      <c r="A1571" t="n">
        <v>5</v>
      </c>
      <c r="B1571" s="30" t="inlineStr">
        <is>
          <t>S10</t>
        </is>
      </c>
      <c r="C1571" t="inlineStr">
        <is>
          <t>PZ-D</t>
        </is>
      </c>
      <c r="D1571" t="n">
        <v>4</v>
      </c>
      <c r="E1571" t="inlineStr">
        <is>
          <t>A0075</t>
        </is>
      </c>
      <c r="F1571" t="inlineStr">
        <is>
          <t>臺北市中山區松江路63號</t>
        </is>
      </c>
      <c r="G1571" t="n">
        <v>25.048433</v>
      </c>
      <c r="H1571" t="n">
        <v>121.53373</v>
      </c>
      <c r="I1571" t="n">
        <v>8</v>
      </c>
      <c r="J1571" t="n">
        <v>3</v>
      </c>
      <c r="K1571" t="n">
        <v>129</v>
      </c>
      <c r="L1571" t="inlineStr">
        <is>
          <t>Primary</t>
        </is>
      </c>
    </row>
    <row r="1572">
      <c r="A1572" t="n">
        <v>5</v>
      </c>
      <c r="B1572" s="30" t="inlineStr">
        <is>
          <t>S10</t>
        </is>
      </c>
      <c r="C1572" t="inlineStr">
        <is>
          <t>PZ-D</t>
        </is>
      </c>
      <c r="D1572" t="n">
        <v>5</v>
      </c>
      <c r="E1572" t="inlineStr">
        <is>
          <t>A0075</t>
        </is>
      </c>
      <c r="F1572" t="inlineStr">
        <is>
          <t>臺北市中山區松江路63號</t>
        </is>
      </c>
      <c r="G1572" t="n">
        <v>25.0488724</v>
      </c>
      <c r="H1572" t="n">
        <v>121.5333295</v>
      </c>
      <c r="I1572" t="n">
        <v>8</v>
      </c>
      <c r="J1572" t="n">
        <v>2</v>
      </c>
      <c r="K1572" t="n">
        <v>139</v>
      </c>
      <c r="L1572" t="inlineStr">
        <is>
          <t>Primary</t>
        </is>
      </c>
    </row>
    <row r="1573">
      <c r="A1573" t="n">
        <v>5</v>
      </c>
      <c r="B1573" s="30" t="inlineStr">
        <is>
          <t>S10</t>
        </is>
      </c>
      <c r="C1573" t="inlineStr">
        <is>
          <t>PZ-D</t>
        </is>
      </c>
      <c r="D1573" t="n">
        <v>6</v>
      </c>
      <c r="E1573" t="inlineStr">
        <is>
          <t>A0076</t>
        </is>
      </c>
      <c r="F1573" t="inlineStr">
        <is>
          <t>臺北市中山區建國北路三段-建北站</t>
        </is>
      </c>
      <c r="G1573" t="n">
        <v>25.0667387</v>
      </c>
      <c r="H1573" t="n">
        <v>121.5349375</v>
      </c>
      <c r="I1573" t="n">
        <v>32</v>
      </c>
      <c r="J1573" t="n">
        <v>4.8</v>
      </c>
      <c r="K1573" t="n">
        <v>175.8</v>
      </c>
      <c r="L1573" t="inlineStr">
        <is>
          <t>Primary</t>
        </is>
      </c>
    </row>
    <row r="1574">
      <c r="A1574" t="n">
        <v>5</v>
      </c>
      <c r="B1574" s="30" t="inlineStr">
        <is>
          <t>S10</t>
        </is>
      </c>
      <c r="C1574" t="inlineStr">
        <is>
          <t>PZ-D</t>
        </is>
      </c>
      <c r="D1574" t="n">
        <v>7</v>
      </c>
      <c r="E1574" t="inlineStr">
        <is>
          <t>A0076</t>
        </is>
      </c>
      <c r="F1574" t="inlineStr">
        <is>
          <t>臺北市中山區建國北路三段-建北站</t>
        </is>
      </c>
      <c r="G1574" t="n">
        <v>25.067031</v>
      </c>
      <c r="H1574" t="n">
        <v>121.534172</v>
      </c>
      <c r="I1574" t="n">
        <v>32</v>
      </c>
      <c r="J1574" t="n">
        <v>2</v>
      </c>
      <c r="K1574" t="n">
        <v>209.8</v>
      </c>
      <c r="L1574" t="inlineStr">
        <is>
          <t>Primary</t>
        </is>
      </c>
    </row>
    <row r="1575">
      <c r="A1575" t="n">
        <v>5</v>
      </c>
      <c r="B1575" s="30" t="inlineStr">
        <is>
          <t>S10</t>
        </is>
      </c>
      <c r="C1575" t="inlineStr">
        <is>
          <t>PZ-D</t>
        </is>
      </c>
      <c r="D1575" t="n">
        <v>8</v>
      </c>
      <c r="E1575" t="inlineStr">
        <is>
          <t>A0176</t>
        </is>
      </c>
      <c r="F1575" t="inlineStr">
        <is>
          <t>臺北市松山區(內湖區)濱江街888號對面</t>
        </is>
      </c>
      <c r="G1575" t="n">
        <v>25.071178</v>
      </c>
      <c r="H1575" t="n">
        <v>121.560442</v>
      </c>
      <c r="I1575" t="n">
        <v>8</v>
      </c>
      <c r="J1575" t="n">
        <v>6.4</v>
      </c>
      <c r="K1575" t="n">
        <v>224.2</v>
      </c>
      <c r="L1575" t="inlineStr">
        <is>
          <t>Primary</t>
        </is>
      </c>
    </row>
    <row r="1576">
      <c r="A1576" t="n">
        <v>5</v>
      </c>
      <c r="B1576" s="30" t="inlineStr">
        <is>
          <t>S10</t>
        </is>
      </c>
      <c r="C1576" t="inlineStr">
        <is>
          <t>PZ-D</t>
        </is>
      </c>
      <c r="D1576" t="n">
        <v>9</v>
      </c>
      <c r="E1576" t="inlineStr">
        <is>
          <t>A0175</t>
        </is>
      </c>
      <c r="F1576" t="inlineStr">
        <is>
          <t>臺北市松山區(內湖區)濱江街453號-洗車場</t>
        </is>
      </c>
      <c r="G1576" t="n">
        <v>25.070628</v>
      </c>
      <c r="H1576" t="n">
        <v>121.564608</v>
      </c>
      <c r="I1576" t="n">
        <v>8</v>
      </c>
      <c r="J1576" t="n">
        <v>3</v>
      </c>
      <c r="K1576" t="n">
        <v>235.2</v>
      </c>
      <c r="L1576" t="inlineStr">
        <is>
          <t>Primary</t>
        </is>
      </c>
    </row>
    <row r="1577">
      <c r="A1577" t="n">
        <v>5</v>
      </c>
      <c r="B1577" s="30" t="inlineStr">
        <is>
          <t>S10</t>
        </is>
      </c>
      <c r="C1577" t="inlineStr">
        <is>
          <t>PZ-D</t>
        </is>
      </c>
      <c r="D1577" t="n">
        <v>10</v>
      </c>
      <c r="E1577" t="inlineStr">
        <is>
          <t>A0125</t>
        </is>
      </c>
      <c r="F1577" t="inlineStr">
        <is>
          <t>臺北市內湖區堤頂大道一段-附座標</t>
        </is>
      </c>
      <c r="G1577" t="n">
        <v>25.069306</v>
      </c>
      <c r="H1577" t="n">
        <v>121.573061</v>
      </c>
      <c r="I1577" t="n">
        <v>8</v>
      </c>
      <c r="J1577" t="n">
        <v>3</v>
      </c>
      <c r="K1577" t="n">
        <v>246.2</v>
      </c>
      <c r="L1577" t="inlineStr">
        <is>
          <t>Primary</t>
        </is>
      </c>
    </row>
    <row r="1578">
      <c r="A1578" t="n">
        <v>5</v>
      </c>
      <c r="B1578" s="30" t="inlineStr">
        <is>
          <t>S10</t>
        </is>
      </c>
      <c r="C1578" t="inlineStr">
        <is>
          <t>PZ-D</t>
        </is>
      </c>
      <c r="D1578" t="n">
        <v>11</v>
      </c>
      <c r="E1578" t="inlineStr">
        <is>
          <t>A0129</t>
        </is>
      </c>
      <c r="F1578" t="inlineStr">
        <is>
          <t>臺北市內湖區瑞光路316巷66號(洗車場)</t>
        </is>
      </c>
      <c r="G1578" t="n">
        <v>25.075303</v>
      </c>
      <c r="H1578" t="n">
        <v>121.5727</v>
      </c>
      <c r="I1578" t="n">
        <v>8</v>
      </c>
      <c r="J1578" t="n">
        <v>3</v>
      </c>
      <c r="K1578" t="n">
        <v>257.2</v>
      </c>
      <c r="L1578" t="inlineStr">
        <is>
          <t>Primary</t>
        </is>
      </c>
    </row>
    <row r="1579">
      <c r="A1579" t="n">
        <v>5</v>
      </c>
      <c r="B1579" s="30" t="inlineStr">
        <is>
          <t>S10</t>
        </is>
      </c>
      <c r="C1579" t="inlineStr">
        <is>
          <t>PZ-D</t>
        </is>
      </c>
      <c r="D1579" t="n">
        <v>12</v>
      </c>
      <c r="E1579" t="inlineStr">
        <is>
          <t>A0108</t>
        </is>
      </c>
      <c r="F1579" t="inlineStr">
        <is>
          <t>臺北市內湖區文德路66巷36弄3號</t>
        </is>
      </c>
      <c r="G1579" t="n">
        <v>25.075831</v>
      </c>
      <c r="H1579" t="n">
        <v>121.580845</v>
      </c>
      <c r="I1579" t="n">
        <v>8</v>
      </c>
      <c r="J1579" t="n">
        <v>3</v>
      </c>
      <c r="K1579" t="n">
        <v>268.2</v>
      </c>
      <c r="L1579" t="inlineStr">
        <is>
          <t>Primary</t>
        </is>
      </c>
    </row>
    <row r="1580">
      <c r="A1580" t="n">
        <v>5</v>
      </c>
      <c r="B1580" s="30" t="inlineStr">
        <is>
          <t>S10</t>
        </is>
      </c>
      <c r="C1580" t="inlineStr">
        <is>
          <t>PZ-D</t>
        </is>
      </c>
      <c r="D1580" t="n">
        <v>13</v>
      </c>
      <c r="E1580" t="inlineStr">
        <is>
          <t>A0105</t>
        </is>
      </c>
      <c r="F1580" t="inlineStr">
        <is>
          <t>臺北市內湖區內湖路2段76巷巷口-內湖國小對面</t>
        </is>
      </c>
      <c r="G1580" t="n">
        <v>25.079264</v>
      </c>
      <c r="H1580" t="n">
        <v>121.581114</v>
      </c>
      <c r="I1580" t="n">
        <v>8</v>
      </c>
      <c r="J1580" t="n">
        <v>3</v>
      </c>
      <c r="K1580" t="n">
        <v>279.2</v>
      </c>
      <c r="L1580" t="inlineStr">
        <is>
          <t>Primary</t>
        </is>
      </c>
    </row>
    <row r="1581">
      <c r="A1581" t="n">
        <v>5</v>
      </c>
      <c r="B1581" s="30" t="inlineStr">
        <is>
          <t>S10</t>
        </is>
      </c>
      <c r="C1581" t="inlineStr">
        <is>
          <t>PZ-D</t>
        </is>
      </c>
      <c r="D1581" t="n">
        <v>14</v>
      </c>
      <c r="E1581" t="inlineStr">
        <is>
          <t>A0107</t>
        </is>
      </c>
      <c r="F1581" t="inlineStr">
        <is>
          <t>臺北市內湖區內湖路二段179巷224弄3號</t>
        </is>
      </c>
      <c r="G1581" t="n">
        <v>25.084147</v>
      </c>
      <c r="H1581" t="n">
        <v>121.584869</v>
      </c>
      <c r="I1581" t="n">
        <v>8</v>
      </c>
      <c r="J1581" t="n">
        <v>3</v>
      </c>
      <c r="K1581" t="n">
        <v>290.2</v>
      </c>
      <c r="L1581" t="inlineStr">
        <is>
          <t>Primary</t>
        </is>
      </c>
    </row>
    <row r="1582">
      <c r="A1582" t="n">
        <v>5</v>
      </c>
      <c r="B1582" s="30" t="inlineStr">
        <is>
          <t>S10</t>
        </is>
      </c>
      <c r="C1582" t="inlineStr">
        <is>
          <t>PZ-D</t>
        </is>
      </c>
      <c r="D1582" t="n">
        <v>15</v>
      </c>
      <c r="E1582" t="inlineStr">
        <is>
          <t>A0104</t>
        </is>
      </c>
      <c r="F1582" t="inlineStr">
        <is>
          <t>臺北市內湖區內湖路２段179巷47號</t>
        </is>
      </c>
      <c r="G1582" t="n">
        <v>25.084511</v>
      </c>
      <c r="H1582" t="n">
        <v>121.585327</v>
      </c>
      <c r="I1582" t="n">
        <v>8</v>
      </c>
      <c r="J1582" t="n">
        <v>2</v>
      </c>
      <c r="K1582" t="n">
        <v>300.2</v>
      </c>
      <c r="L1582" t="inlineStr">
        <is>
          <t>Primary</t>
        </is>
      </c>
    </row>
    <row r="1583">
      <c r="A1583" t="n">
        <v>5</v>
      </c>
      <c r="B1583" s="30" t="inlineStr">
        <is>
          <t>S10</t>
        </is>
      </c>
      <c r="C1583" t="inlineStr">
        <is>
          <t>PZ-D</t>
        </is>
      </c>
      <c r="D1583" t="n">
        <v>16</v>
      </c>
      <c r="E1583" t="inlineStr">
        <is>
          <t>A0106</t>
        </is>
      </c>
      <c r="F1583" t="inlineStr">
        <is>
          <t>臺北市內湖區內湖路二段179巷</t>
        </is>
      </c>
      <c r="G1583" t="n">
        <v>25.084944</v>
      </c>
      <c r="H1583" t="n">
        <v>121.584583</v>
      </c>
      <c r="I1583" t="n">
        <v>8</v>
      </c>
      <c r="J1583" t="n">
        <v>2</v>
      </c>
      <c r="K1583" t="n">
        <v>310.2</v>
      </c>
      <c r="L1583" t="inlineStr">
        <is>
          <t>Primary</t>
        </is>
      </c>
    </row>
    <row r="1584">
      <c r="A1584" t="n">
        <v>5</v>
      </c>
      <c r="B1584" s="30" t="inlineStr">
        <is>
          <t>S10</t>
        </is>
      </c>
      <c r="C1584" t="inlineStr">
        <is>
          <t>PZ-D</t>
        </is>
      </c>
      <c r="D1584" t="n">
        <v>17</v>
      </c>
      <c r="E1584" t="inlineStr">
        <is>
          <t>A0114</t>
        </is>
      </c>
      <c r="F1584" t="inlineStr">
        <is>
          <t>臺北市內湖區成功路3段140號</t>
        </is>
      </c>
      <c r="G1584" t="n">
        <v>25.079909</v>
      </c>
      <c r="H1584" t="n">
        <v>121.589977</v>
      </c>
      <c r="I1584" t="n">
        <v>16</v>
      </c>
      <c r="J1584" t="n">
        <v>3</v>
      </c>
      <c r="K1584" t="n">
        <v>329.2</v>
      </c>
      <c r="L1584" t="inlineStr">
        <is>
          <t>Primary</t>
        </is>
      </c>
    </row>
    <row r="1585">
      <c r="A1585" t="n">
        <v>5</v>
      </c>
      <c r="B1585" s="30" t="inlineStr">
        <is>
          <t>S10</t>
        </is>
      </c>
      <c r="C1585" t="inlineStr">
        <is>
          <t>PZ-D</t>
        </is>
      </c>
      <c r="D1585" t="n">
        <v>18</v>
      </c>
      <c r="E1585" t="inlineStr">
        <is>
          <t>A0115</t>
        </is>
      </c>
      <c r="F1585" t="inlineStr">
        <is>
          <t>臺北市內湖區成功路3段140號-10F</t>
        </is>
      </c>
      <c r="G1585" t="n">
        <v>25.079909</v>
      </c>
      <c r="H1585" t="n">
        <v>121.589977</v>
      </c>
      <c r="I1585" t="n">
        <v>8</v>
      </c>
      <c r="J1585" t="n">
        <v>2</v>
      </c>
      <c r="K1585" t="n">
        <v>339.2</v>
      </c>
      <c r="L1585" t="inlineStr">
        <is>
          <t>Primary</t>
        </is>
      </c>
    </row>
    <row r="1586">
      <c r="A1586" t="n">
        <v>5</v>
      </c>
      <c r="B1586" s="30" t="inlineStr">
        <is>
          <t>S10</t>
        </is>
      </c>
      <c r="C1586" t="inlineStr">
        <is>
          <t>PZ-D</t>
        </is>
      </c>
      <c r="D1586" t="n">
        <v>19</v>
      </c>
      <c r="E1586" t="inlineStr">
        <is>
          <t>A0116</t>
        </is>
      </c>
      <c r="F1586" t="inlineStr">
        <is>
          <t>臺北市內湖區成功路3段140號-4F</t>
        </is>
      </c>
      <c r="G1586" t="n">
        <v>25.079909</v>
      </c>
      <c r="H1586" t="n">
        <v>121.589977</v>
      </c>
      <c r="I1586" t="n">
        <v>18</v>
      </c>
      <c r="J1586" t="n">
        <v>2</v>
      </c>
      <c r="K1586" t="n">
        <v>359.2</v>
      </c>
      <c r="L1586" t="inlineStr">
        <is>
          <t>Primary</t>
        </is>
      </c>
    </row>
    <row r="1587">
      <c r="A1587" t="n">
        <v>5</v>
      </c>
      <c r="B1587" s="30" t="inlineStr">
        <is>
          <t>S10</t>
        </is>
      </c>
      <c r="C1587" t="inlineStr">
        <is>
          <t>PZ-D</t>
        </is>
      </c>
      <c r="D1587" t="n">
        <v>20</v>
      </c>
      <c r="E1587" t="inlineStr">
        <is>
          <t>A0117</t>
        </is>
      </c>
      <c r="F1587" t="inlineStr">
        <is>
          <t>臺北市內湖區成功路3段140號-7F</t>
        </is>
      </c>
      <c r="G1587" t="n">
        <v>25.079909</v>
      </c>
      <c r="H1587" t="n">
        <v>121.589977</v>
      </c>
      <c r="I1587" t="n">
        <v>18</v>
      </c>
      <c r="J1587" t="n">
        <v>2</v>
      </c>
      <c r="K1587" t="n">
        <v>379.2</v>
      </c>
      <c r="L1587" t="inlineStr">
        <is>
          <t>Primary</t>
        </is>
      </c>
    </row>
    <row r="1588">
      <c r="A1588" t="n">
        <v>5</v>
      </c>
      <c r="B1588" s="30" t="inlineStr">
        <is>
          <t>S10</t>
        </is>
      </c>
      <c r="C1588" t="inlineStr">
        <is>
          <t>PZ-D</t>
        </is>
      </c>
      <c r="D1588" t="n">
        <v>21</v>
      </c>
      <c r="E1588" t="inlineStr">
        <is>
          <t>A0100</t>
        </is>
      </c>
      <c r="F1588" t="inlineStr">
        <is>
          <t>臺北市內湖區大湖街160巷22弄20號</t>
        </is>
      </c>
      <c r="G1588" t="n">
        <v>25.08237</v>
      </c>
      <c r="H1588" t="n">
        <v>121.59973</v>
      </c>
      <c r="I1588" t="n">
        <v>8</v>
      </c>
      <c r="J1588" t="n">
        <v>3</v>
      </c>
      <c r="K1588" t="n">
        <v>390.2</v>
      </c>
      <c r="L1588" t="inlineStr">
        <is>
          <t>Primary</t>
        </is>
      </c>
    </row>
    <row r="1589">
      <c r="A1589" t="n">
        <v>5</v>
      </c>
      <c r="B1589" s="30" t="inlineStr">
        <is>
          <t>S10</t>
        </is>
      </c>
      <c r="C1589" t="inlineStr">
        <is>
          <t>PZ-D</t>
        </is>
      </c>
      <c r="D1589" t="n">
        <v>22</v>
      </c>
      <c r="E1589" t="inlineStr">
        <is>
          <t>A0102</t>
        </is>
      </c>
      <c r="F1589" t="inlineStr">
        <is>
          <t>臺北市內湖區大湖街160巷22號</t>
        </is>
      </c>
      <c r="G1589" t="n">
        <v>25.082411</v>
      </c>
      <c r="H1589" t="n">
        <v>121.601333</v>
      </c>
      <c r="I1589" t="n">
        <v>8</v>
      </c>
      <c r="J1589" t="n">
        <v>3</v>
      </c>
      <c r="K1589" t="n">
        <v>401.2</v>
      </c>
      <c r="L1589" t="inlineStr">
        <is>
          <t>Primary</t>
        </is>
      </c>
    </row>
    <row r="1590">
      <c r="A1590" t="n">
        <v>5</v>
      </c>
      <c r="B1590" s="30" t="inlineStr">
        <is>
          <t>S10</t>
        </is>
      </c>
      <c r="C1590" t="inlineStr">
        <is>
          <t>PZ-D</t>
        </is>
      </c>
      <c r="D1590" t="n">
        <v>23</v>
      </c>
      <c r="E1590" t="inlineStr">
        <is>
          <t>A0097</t>
        </is>
      </c>
      <c r="F1590" t="inlineStr">
        <is>
          <t>臺北市內湖區大湖山莊街23巷32號</t>
        </is>
      </c>
      <c r="G1590" t="n">
        <v>25.085725</v>
      </c>
      <c r="H1590" t="n">
        <v>121.602833</v>
      </c>
      <c r="I1590" t="n">
        <v>8</v>
      </c>
      <c r="J1590" t="n">
        <v>3</v>
      </c>
      <c r="K1590" t="n">
        <v>412.2</v>
      </c>
      <c r="L1590" t="inlineStr">
        <is>
          <t>Primary</t>
        </is>
      </c>
    </row>
    <row r="1591">
      <c r="A1591" t="n">
        <v>5</v>
      </c>
      <c r="B1591" s="30" t="inlineStr">
        <is>
          <t>S10</t>
        </is>
      </c>
      <c r="C1591" t="inlineStr">
        <is>
          <t>PZ-D</t>
        </is>
      </c>
      <c r="D1591" t="n">
        <v>24</v>
      </c>
      <c r="E1591" t="inlineStr">
        <is>
          <t>A0098</t>
        </is>
      </c>
      <c r="F1591" t="inlineStr">
        <is>
          <t>臺北市內湖區大湖山莊街78號</t>
        </is>
      </c>
      <c r="G1591" t="n">
        <v>25.086991</v>
      </c>
      <c r="H1591" t="n">
        <v>121.605092</v>
      </c>
      <c r="I1591" t="n">
        <v>8</v>
      </c>
      <c r="J1591" t="n">
        <v>3</v>
      </c>
      <c r="K1591" t="n">
        <v>423.2</v>
      </c>
      <c r="L1591" t="inlineStr">
        <is>
          <t>Primary</t>
        </is>
      </c>
    </row>
    <row r="1592">
      <c r="A1592" t="n">
        <v>5</v>
      </c>
      <c r="B1592" s="30" t="inlineStr">
        <is>
          <t>S10</t>
        </is>
      </c>
      <c r="C1592" t="inlineStr">
        <is>
          <t>PZ-D</t>
        </is>
      </c>
      <c r="D1592" t="n">
        <v>25</v>
      </c>
      <c r="E1592" t="inlineStr">
        <is>
          <t>A0121</t>
        </is>
      </c>
      <c r="F1592" t="inlineStr">
        <is>
          <t>臺北市內湖區金湖路363巷巷底-白色八米大門</t>
        </is>
      </c>
      <c r="G1592" t="n">
        <v>25.0720432</v>
      </c>
      <c r="H1592" t="n">
        <v>121.5978552</v>
      </c>
      <c r="I1592" t="n">
        <v>48</v>
      </c>
      <c r="J1592" t="n">
        <v>4.4</v>
      </c>
      <c r="K1592" t="n">
        <v>475.6</v>
      </c>
      <c r="L1592" t="inlineStr">
        <is>
          <t>Primary</t>
        </is>
      </c>
    </row>
    <row r="1593">
      <c r="A1593" t="n">
        <v>5</v>
      </c>
      <c r="B1593" s="30" t="inlineStr">
        <is>
          <t>S10</t>
        </is>
      </c>
      <c r="C1593" t="inlineStr">
        <is>
          <t>PZ-D</t>
        </is>
      </c>
      <c r="D1593" t="n">
        <v>26</v>
      </c>
      <c r="E1593" t="inlineStr">
        <is>
          <t>A0192</t>
        </is>
      </c>
      <c r="F1593" t="inlineStr">
        <is>
          <t>臺北市信義區松隆路42號旁</t>
        </is>
      </c>
      <c r="G1593" t="n">
        <v>25.043925</v>
      </c>
      <c r="H1593" t="n">
        <v>121.568039</v>
      </c>
      <c r="I1593" t="n">
        <v>16</v>
      </c>
      <c r="J1593" t="n">
        <v>10.4</v>
      </c>
      <c r="K1593" t="n">
        <v>502</v>
      </c>
      <c r="L1593" t="inlineStr">
        <is>
          <t>Primary</t>
        </is>
      </c>
    </row>
    <row r="1594">
      <c r="A1594" t="n">
        <v>6</v>
      </c>
      <c r="B1594" s="30" t="inlineStr">
        <is>
          <t>S10</t>
        </is>
      </c>
      <c r="C1594" t="inlineStr">
        <is>
          <t>PZ-D</t>
        </is>
      </c>
      <c r="D1594" t="n">
        <v>1</v>
      </c>
      <c r="E1594" t="inlineStr">
        <is>
          <t>K0060</t>
        </is>
      </c>
      <c r="F1594" t="inlineStr">
        <is>
          <t>苗栗縣頭份市民族路517號旁停車場 富翔工務所</t>
        </is>
      </c>
      <c r="G1594" t="n">
        <v>24.684958</v>
      </c>
      <c r="H1594" t="n">
        <v>120.891114</v>
      </c>
      <c r="I1594" t="n">
        <v>16</v>
      </c>
      <c r="J1594" t="n">
        <v>41.9</v>
      </c>
      <c r="K1594" t="n">
        <v>57.9</v>
      </c>
      <c r="L1594" t="inlineStr">
        <is>
          <t>Primary</t>
        </is>
      </c>
    </row>
    <row r="1595">
      <c r="A1595" t="n">
        <v>6</v>
      </c>
      <c r="B1595" s="30" t="inlineStr">
        <is>
          <t>S10</t>
        </is>
      </c>
      <c r="C1595" t="inlineStr">
        <is>
          <t>PZ-D</t>
        </is>
      </c>
      <c r="D1595" t="n">
        <v>2</v>
      </c>
      <c r="E1595" t="inlineStr">
        <is>
          <t>K0019</t>
        </is>
      </c>
      <c r="F1595" t="inlineStr">
        <is>
          <t>苗栗縣竹南鎮東平路54號</t>
        </is>
      </c>
      <c r="G1595" t="n">
        <v>24.683986</v>
      </c>
      <c r="H1595" t="n">
        <v>120.881086</v>
      </c>
      <c r="I1595" t="n">
        <v>8</v>
      </c>
      <c r="J1595" t="n">
        <v>3</v>
      </c>
      <c r="K1595" t="n">
        <v>68.90000000000001</v>
      </c>
      <c r="L1595" t="inlineStr">
        <is>
          <t>Primary</t>
        </is>
      </c>
    </row>
    <row r="1596">
      <c r="A1596" t="n">
        <v>6</v>
      </c>
      <c r="B1596" s="30" t="inlineStr">
        <is>
          <t>S10</t>
        </is>
      </c>
      <c r="C1596" t="inlineStr">
        <is>
          <t>PZ-D</t>
        </is>
      </c>
      <c r="D1596" t="n">
        <v>3</v>
      </c>
      <c r="E1596" t="inlineStr">
        <is>
          <t>K0008</t>
        </is>
      </c>
      <c r="F1596" t="inlineStr">
        <is>
          <t>苗栗縣竹南鎮中正路96之1號-竹南高中隔壁</t>
        </is>
      </c>
      <c r="G1596" t="n">
        <v>24.683747</v>
      </c>
      <c r="H1596" t="n">
        <v>120.875186</v>
      </c>
      <c r="I1596" t="n">
        <v>8</v>
      </c>
      <c r="J1596" t="n">
        <v>3</v>
      </c>
      <c r="K1596" t="n">
        <v>79.90000000000001</v>
      </c>
      <c r="L1596" t="inlineStr">
        <is>
          <t>Primary</t>
        </is>
      </c>
    </row>
    <row r="1597">
      <c r="A1597" t="n">
        <v>6</v>
      </c>
      <c r="B1597" s="30" t="inlineStr">
        <is>
          <t>S10</t>
        </is>
      </c>
      <c r="C1597" t="inlineStr">
        <is>
          <t>PZ-D</t>
        </is>
      </c>
      <c r="D1597" t="n">
        <v>4</v>
      </c>
      <c r="E1597" t="inlineStr">
        <is>
          <t>K0018</t>
        </is>
      </c>
      <c r="F1597" t="inlineStr">
        <is>
          <t>苗栗縣竹南鎮自由街131號旁</t>
        </is>
      </c>
      <c r="G1597" t="n">
        <v>24.687869</v>
      </c>
      <c r="H1597" t="n">
        <v>120.874567</v>
      </c>
      <c r="I1597" t="n">
        <v>8</v>
      </c>
      <c r="J1597" t="n">
        <v>3</v>
      </c>
      <c r="K1597" t="n">
        <v>90.90000000000001</v>
      </c>
      <c r="L1597" t="inlineStr">
        <is>
          <t>Primary</t>
        </is>
      </c>
    </row>
    <row r="1598">
      <c r="A1598" t="n">
        <v>6</v>
      </c>
      <c r="B1598" s="30" t="inlineStr">
        <is>
          <t>S10</t>
        </is>
      </c>
      <c r="C1598" t="inlineStr">
        <is>
          <t>PZ-D</t>
        </is>
      </c>
      <c r="D1598" t="n">
        <v>5</v>
      </c>
      <c r="E1598" t="inlineStr">
        <is>
          <t>K0007</t>
        </is>
      </c>
      <c r="F1598" t="inlineStr">
        <is>
          <t>苗栗縣竹南鎮大埔頂5號</t>
        </is>
      </c>
      <c r="G1598" t="n">
        <v>24.6588</v>
      </c>
      <c r="H1598" t="n">
        <v>120.873867</v>
      </c>
      <c r="I1598" t="n">
        <v>8</v>
      </c>
      <c r="J1598" t="n">
        <v>7.8</v>
      </c>
      <c r="K1598" t="n">
        <v>106.7</v>
      </c>
      <c r="L1598" t="inlineStr">
        <is>
          <t>Primary</t>
        </is>
      </c>
    </row>
    <row r="1599">
      <c r="A1599" t="n">
        <v>6</v>
      </c>
      <c r="B1599" s="30" t="inlineStr">
        <is>
          <t>S10</t>
        </is>
      </c>
      <c r="C1599" t="inlineStr">
        <is>
          <t>PZ-D</t>
        </is>
      </c>
      <c r="D1599" t="n">
        <v>6</v>
      </c>
      <c r="E1599" t="inlineStr">
        <is>
          <t>K0048</t>
        </is>
      </c>
      <c r="F1599" t="inlineStr">
        <is>
          <t>苗栗縣造橋鄉13鄰東興36號-凱撒衛浴-造橋發貨中心附近-附地標</t>
        </is>
      </c>
      <c r="G1599" t="n">
        <v>24.640622</v>
      </c>
      <c r="H1599" t="n">
        <v>120.869323</v>
      </c>
      <c r="I1599" t="n">
        <v>16</v>
      </c>
      <c r="J1599" t="n">
        <v>5</v>
      </c>
      <c r="K1599" t="n">
        <v>127.6</v>
      </c>
      <c r="L1599" t="inlineStr">
        <is>
          <t>Primary</t>
        </is>
      </c>
    </row>
    <row r="1600">
      <c r="A1600" t="n">
        <v>6</v>
      </c>
      <c r="B1600" s="30" t="inlineStr">
        <is>
          <t>S10</t>
        </is>
      </c>
      <c r="C1600" t="inlineStr">
        <is>
          <t>PZ-D</t>
        </is>
      </c>
      <c r="D1600" t="n">
        <v>7</v>
      </c>
      <c r="E1600" t="inlineStr">
        <is>
          <t>K0051</t>
        </is>
      </c>
      <c r="F1600" t="inlineStr">
        <is>
          <t>苗栗縣造橋鄉平興鄉24°37'10.3"N 120°51'27.4"E</t>
        </is>
      </c>
      <c r="G1600" t="n">
        <v>24.619325</v>
      </c>
      <c r="H1600" t="n">
        <v>120.857075</v>
      </c>
      <c r="I1600" t="n">
        <v>8</v>
      </c>
      <c r="J1600" t="n">
        <v>6.4</v>
      </c>
      <c r="K1600" t="n">
        <v>142.1</v>
      </c>
      <c r="L1600" t="inlineStr">
        <is>
          <t>Primary</t>
        </is>
      </c>
    </row>
    <row r="1601">
      <c r="A1601" t="n">
        <v>6</v>
      </c>
      <c r="B1601" s="30" t="inlineStr">
        <is>
          <t>S10</t>
        </is>
      </c>
      <c r="C1601" t="inlineStr">
        <is>
          <t>PZ-D</t>
        </is>
      </c>
      <c r="D1601" t="n">
        <v>8</v>
      </c>
      <c r="E1601" t="inlineStr">
        <is>
          <t>K0047</t>
        </is>
      </c>
      <c r="F1601" t="inlineStr">
        <is>
          <t>苗栗縣苗栗市福安里福星252之1號-長春石油化學</t>
        </is>
      </c>
      <c r="G1601" t="n">
        <v>24.594611</v>
      </c>
      <c r="H1601" t="n">
        <v>120.808839</v>
      </c>
      <c r="I1601" t="n">
        <v>8</v>
      </c>
      <c r="J1601" t="n">
        <v>13.4</v>
      </c>
      <c r="K1601" t="n">
        <v>163.5</v>
      </c>
      <c r="L1601" t="inlineStr">
        <is>
          <t>Primary</t>
        </is>
      </c>
    </row>
    <row r="1602">
      <c r="A1602" t="n">
        <v>6</v>
      </c>
      <c r="B1602" s="30" t="inlineStr">
        <is>
          <t>S10</t>
        </is>
      </c>
      <c r="C1602" t="inlineStr">
        <is>
          <t>PZ-D</t>
        </is>
      </c>
      <c r="D1602" t="n">
        <v>9</v>
      </c>
      <c r="E1602" t="inlineStr">
        <is>
          <t>K0001</t>
        </is>
      </c>
      <c r="F1602" t="inlineStr">
        <is>
          <t>苗栗縣公館鄉玉泉村13鄰353號</t>
        </is>
      </c>
      <c r="G1602" t="n">
        <v>24.506106</v>
      </c>
      <c r="H1602" t="n">
        <v>120.82502</v>
      </c>
      <c r="I1602" t="n">
        <v>16</v>
      </c>
      <c r="J1602" t="n">
        <v>23.9</v>
      </c>
      <c r="K1602" t="n">
        <v>203.4</v>
      </c>
      <c r="L1602" t="inlineStr">
        <is>
          <t>Primary</t>
        </is>
      </c>
    </row>
    <row r="1603">
      <c r="A1603" t="n">
        <v>6</v>
      </c>
      <c r="B1603" s="30" t="inlineStr">
        <is>
          <t>S10</t>
        </is>
      </c>
      <c r="C1603" t="inlineStr">
        <is>
          <t>PZ-C</t>
        </is>
      </c>
      <c r="D1603" t="n">
        <v>10</v>
      </c>
      <c r="E1603" t="inlineStr">
        <is>
          <t>O0086</t>
        </is>
      </c>
      <c r="F1603" t="inlineStr">
        <is>
          <t>新竹市香山區中華路6段647巷136弄2號(J區6座、B區4座)</t>
        </is>
      </c>
      <c r="G1603" t="n">
        <v>24.732661</v>
      </c>
      <c r="H1603" t="n">
        <v>120.930931</v>
      </c>
      <c r="I1603" t="n">
        <v>56</v>
      </c>
      <c r="J1603" t="n">
        <v>27.4</v>
      </c>
      <c r="K1603" t="n">
        <v>286.8</v>
      </c>
      <c r="L1603" s="21" t="inlineStr">
        <is>
          <t>Support</t>
        </is>
      </c>
    </row>
    <row r="1604">
      <c r="A1604" t="n">
        <v>6</v>
      </c>
      <c r="B1604" s="30" t="inlineStr">
        <is>
          <t>S10</t>
        </is>
      </c>
      <c r="C1604" t="inlineStr">
        <is>
          <t>PZ-C</t>
        </is>
      </c>
      <c r="D1604" t="n">
        <v>11</v>
      </c>
      <c r="E1604" t="inlineStr">
        <is>
          <t>O0093</t>
        </is>
      </c>
      <c r="F1604" t="inlineStr">
        <is>
          <t>新竹市香山區美之城53號</t>
        </is>
      </c>
      <c r="G1604" t="n">
        <v>24.76797</v>
      </c>
      <c r="H1604" t="n">
        <v>120.959131</v>
      </c>
      <c r="I1604" t="n">
        <v>8</v>
      </c>
      <c r="J1604" t="n">
        <v>11.6</v>
      </c>
      <c r="K1604" t="n">
        <v>306.5</v>
      </c>
      <c r="L1604" s="21" t="inlineStr">
        <is>
          <t>Support</t>
        </is>
      </c>
    </row>
    <row r="1605">
      <c r="A1605" t="n">
        <v>6</v>
      </c>
      <c r="B1605" s="30" t="inlineStr">
        <is>
          <t>S10</t>
        </is>
      </c>
      <c r="C1605" t="inlineStr">
        <is>
          <t>PZ-C</t>
        </is>
      </c>
      <c r="D1605" t="n">
        <v>12</v>
      </c>
      <c r="E1605" t="inlineStr">
        <is>
          <t>O0064</t>
        </is>
      </c>
      <c r="F1605" t="inlineStr">
        <is>
          <t>新竹市東區明湖路648巷104弄27號-大自然社區</t>
        </is>
      </c>
      <c r="G1605" t="n">
        <v>24.772334</v>
      </c>
      <c r="H1605" t="n">
        <v>120.962192</v>
      </c>
      <c r="I1605" t="n">
        <v>8</v>
      </c>
      <c r="J1605" t="n">
        <v>3</v>
      </c>
      <c r="K1605" t="n">
        <v>317.5</v>
      </c>
      <c r="L1605" s="21" t="inlineStr">
        <is>
          <t>Support</t>
        </is>
      </c>
    </row>
    <row r="1606">
      <c r="A1606" t="n">
        <v>6</v>
      </c>
      <c r="B1606" s="30" t="inlineStr">
        <is>
          <t>S10</t>
        </is>
      </c>
      <c r="C1606" t="inlineStr">
        <is>
          <t>PZ-C</t>
        </is>
      </c>
      <c r="D1606" t="n">
        <v>13</v>
      </c>
      <c r="E1606" t="inlineStr">
        <is>
          <t>J0216</t>
        </is>
      </c>
      <c r="F1606" t="inlineStr">
        <is>
          <t>新竹縣寶山鄉大雅一街110號-會分散擺放-雙園料場</t>
        </is>
      </c>
      <c r="G1606" t="n">
        <v>24.7512064</v>
      </c>
      <c r="H1606" t="n">
        <v>121.018169</v>
      </c>
      <c r="I1606" t="n">
        <v>32</v>
      </c>
      <c r="J1606" t="n">
        <v>14.7</v>
      </c>
      <c r="K1606" t="n">
        <v>364.1</v>
      </c>
      <c r="L1606" s="21" t="inlineStr">
        <is>
          <t>Support</t>
        </is>
      </c>
    </row>
    <row r="1607">
      <c r="A1607" t="n">
        <v>1</v>
      </c>
      <c r="B1607" s="31" t="inlineStr">
        <is>
          <t>S11</t>
        </is>
      </c>
      <c r="C1607" t="inlineStr">
        <is>
          <t>PZ-C</t>
        </is>
      </c>
      <c r="D1607" t="n">
        <v>1</v>
      </c>
      <c r="E1607" t="inlineStr">
        <is>
          <t>J0203</t>
        </is>
      </c>
      <c r="F1607" t="inlineStr">
        <is>
          <t>新竹縣關西鎮東平里大東坑66-2號</t>
        </is>
      </c>
      <c r="G1607" t="n">
        <v>24.828925</v>
      </c>
      <c r="H1607" t="n">
        <v>121.167084</v>
      </c>
      <c r="I1607" t="n">
        <v>16</v>
      </c>
      <c r="J1607" t="n">
        <v>10.5</v>
      </c>
      <c r="K1607" t="n">
        <v>26.5</v>
      </c>
      <c r="L1607" t="inlineStr">
        <is>
          <t>Primary</t>
        </is>
      </c>
    </row>
    <row r="1608">
      <c r="A1608" t="n">
        <v>1</v>
      </c>
      <c r="B1608" s="31" t="inlineStr">
        <is>
          <t>S11</t>
        </is>
      </c>
      <c r="C1608" t="inlineStr">
        <is>
          <t>PZ-C</t>
        </is>
      </c>
      <c r="D1608" t="n">
        <v>2</v>
      </c>
      <c r="E1608" t="inlineStr">
        <is>
          <t>J0205</t>
        </is>
      </c>
      <c r="F1608" t="inlineStr">
        <is>
          <t>新竹縣關西鎮茅子埔18-19號對面</t>
        </is>
      </c>
      <c r="G1608" t="n">
        <v>24.804017</v>
      </c>
      <c r="H1608" t="n">
        <v>121.154181</v>
      </c>
      <c r="I1608" t="n">
        <v>8</v>
      </c>
      <c r="J1608" t="n">
        <v>7.3</v>
      </c>
      <c r="K1608" t="n">
        <v>41.9</v>
      </c>
      <c r="L1608" t="inlineStr">
        <is>
          <t>Primary</t>
        </is>
      </c>
    </row>
    <row r="1609">
      <c r="A1609" t="n">
        <v>1</v>
      </c>
      <c r="B1609" s="31" t="inlineStr">
        <is>
          <t>S11</t>
        </is>
      </c>
      <c r="C1609" t="inlineStr">
        <is>
          <t>PZ-C</t>
        </is>
      </c>
      <c r="D1609" t="n">
        <v>3</v>
      </c>
      <c r="E1609" t="inlineStr">
        <is>
          <t>J0200</t>
        </is>
      </c>
      <c r="F1609" t="inlineStr">
        <is>
          <t>新竹縣關西鎮北平路488號-健康宅</t>
        </is>
      </c>
      <c r="G1609" t="n">
        <v>24.795502</v>
      </c>
      <c r="H1609" t="n">
        <v>121.170161</v>
      </c>
      <c r="I1609" t="n">
        <v>32</v>
      </c>
      <c r="J1609" t="n">
        <v>4.5</v>
      </c>
      <c r="K1609" t="n">
        <v>78.40000000000001</v>
      </c>
      <c r="L1609" t="inlineStr">
        <is>
          <t>Primary</t>
        </is>
      </c>
    </row>
    <row r="1610">
      <c r="A1610" t="n">
        <v>1</v>
      </c>
      <c r="B1610" s="31" t="inlineStr">
        <is>
          <t>S11</t>
        </is>
      </c>
      <c r="C1610" t="inlineStr">
        <is>
          <t>PZ-C</t>
        </is>
      </c>
      <c r="D1610" t="n">
        <v>4</v>
      </c>
      <c r="E1610" t="inlineStr">
        <is>
          <t>J0101</t>
        </is>
      </c>
      <c r="F1610" t="inlineStr">
        <is>
          <t>新竹縣芎林鄉五和街251號旁工地</t>
        </is>
      </c>
      <c r="G1610" t="n">
        <v>24.738339</v>
      </c>
      <c r="H1610" t="n">
        <v>121.130645</v>
      </c>
      <c r="I1610" t="n">
        <v>16</v>
      </c>
      <c r="J1610" t="n">
        <v>18</v>
      </c>
      <c r="K1610" t="n">
        <v>112.4</v>
      </c>
      <c r="L1610" t="inlineStr">
        <is>
          <t>Primary</t>
        </is>
      </c>
    </row>
    <row r="1611">
      <c r="A1611" t="n">
        <v>1</v>
      </c>
      <c r="B1611" s="31" t="inlineStr">
        <is>
          <t>S11</t>
        </is>
      </c>
      <c r="C1611" t="inlineStr">
        <is>
          <t>PZ-C</t>
        </is>
      </c>
      <c r="D1611" t="n">
        <v>5</v>
      </c>
      <c r="E1611" t="inlineStr">
        <is>
          <t>J0085</t>
        </is>
      </c>
      <c r="F1611" t="inlineStr">
        <is>
          <t>新竹縣竹東鎮北興路一段211號</t>
        </is>
      </c>
      <c r="G1611" t="n">
        <v>24.729098</v>
      </c>
      <c r="H1611" t="n">
        <v>121.099155</v>
      </c>
      <c r="I1611" t="n">
        <v>16</v>
      </c>
      <c r="J1611" t="n">
        <v>8</v>
      </c>
      <c r="K1611" t="n">
        <v>136.4</v>
      </c>
      <c r="L1611" t="inlineStr">
        <is>
          <t>Primary</t>
        </is>
      </c>
    </row>
    <row r="1612">
      <c r="A1612" t="n">
        <v>1</v>
      </c>
      <c r="B1612" s="31" t="inlineStr">
        <is>
          <t>S11</t>
        </is>
      </c>
      <c r="C1612" t="inlineStr">
        <is>
          <t>PZ-C</t>
        </is>
      </c>
      <c r="D1612" t="n">
        <v>6</v>
      </c>
      <c r="E1612" t="inlineStr">
        <is>
          <t>J0080</t>
        </is>
      </c>
      <c r="F1612" t="inlineStr">
        <is>
          <t>新竹縣竹東鎮工業二路96號</t>
        </is>
      </c>
      <c r="G1612" t="n">
        <v>24.7277505</v>
      </c>
      <c r="H1612" t="n">
        <v>121.096723</v>
      </c>
      <c r="I1612" t="n">
        <v>16</v>
      </c>
      <c r="J1612" t="n">
        <v>3</v>
      </c>
      <c r="K1612" t="n">
        <v>155.4</v>
      </c>
      <c r="L1612" t="inlineStr">
        <is>
          <t>Primary</t>
        </is>
      </c>
    </row>
    <row r="1613">
      <c r="A1613" t="n">
        <v>1</v>
      </c>
      <c r="B1613" s="31" t="inlineStr">
        <is>
          <t>S11</t>
        </is>
      </c>
      <c r="C1613" t="inlineStr">
        <is>
          <t>PZ-C</t>
        </is>
      </c>
      <c r="D1613" t="n">
        <v>7</v>
      </c>
      <c r="E1613" t="inlineStr">
        <is>
          <t>J0079</t>
        </is>
      </c>
      <c r="F1613" t="inlineStr">
        <is>
          <t>新竹縣竹東鎮大同路173號旁</t>
        </is>
      </c>
      <c r="G1613" t="n">
        <v>24.738594</v>
      </c>
      <c r="H1613" t="n">
        <v>121.092277</v>
      </c>
      <c r="I1613" t="n">
        <v>8</v>
      </c>
      <c r="J1613" t="n">
        <v>3.1</v>
      </c>
      <c r="K1613" t="n">
        <v>166.5</v>
      </c>
      <c r="L1613" t="inlineStr">
        <is>
          <t>Primary</t>
        </is>
      </c>
    </row>
    <row r="1614">
      <c r="A1614" t="n">
        <v>1</v>
      </c>
      <c r="B1614" s="31" t="inlineStr">
        <is>
          <t>S11</t>
        </is>
      </c>
      <c r="C1614" t="inlineStr">
        <is>
          <t>PZ-C</t>
        </is>
      </c>
      <c r="D1614" t="n">
        <v>8</v>
      </c>
      <c r="E1614" t="inlineStr">
        <is>
          <t>J0097</t>
        </is>
      </c>
      <c r="F1614" t="inlineStr">
        <is>
          <t>新竹縣竹東鎮新民路28巷1號之1</t>
        </is>
      </c>
      <c r="G1614" t="n">
        <v>24.743025</v>
      </c>
      <c r="H1614" t="n">
        <v>121.084791</v>
      </c>
      <c r="I1614" t="n">
        <v>8</v>
      </c>
      <c r="J1614" t="n">
        <v>3</v>
      </c>
      <c r="K1614" t="n">
        <v>177.5</v>
      </c>
      <c r="L1614" t="inlineStr">
        <is>
          <t>Primary</t>
        </is>
      </c>
    </row>
    <row r="1615">
      <c r="A1615" t="n">
        <v>1</v>
      </c>
      <c r="B1615" s="31" t="inlineStr">
        <is>
          <t>S11</t>
        </is>
      </c>
      <c r="C1615" t="inlineStr">
        <is>
          <t>PZ-C</t>
        </is>
      </c>
      <c r="D1615" t="n">
        <v>9</v>
      </c>
      <c r="E1615" t="inlineStr">
        <is>
          <t>J0093</t>
        </is>
      </c>
      <c r="F1615" t="inlineStr">
        <is>
          <t>新竹縣竹東鎮長春路三段272巷40號旁</t>
        </is>
      </c>
      <c r="G1615" t="n">
        <v>24.746297</v>
      </c>
      <c r="H1615" t="n">
        <v>121.083139</v>
      </c>
      <c r="I1615" t="n">
        <v>8</v>
      </c>
      <c r="J1615" t="n">
        <v>3</v>
      </c>
      <c r="K1615" t="n">
        <v>188.5</v>
      </c>
      <c r="L1615" t="inlineStr">
        <is>
          <t>Primary</t>
        </is>
      </c>
    </row>
    <row r="1616">
      <c r="A1616" t="n">
        <v>1</v>
      </c>
      <c r="B1616" s="31" t="inlineStr">
        <is>
          <t>S11</t>
        </is>
      </c>
      <c r="C1616" t="inlineStr">
        <is>
          <t>PZ-C</t>
        </is>
      </c>
      <c r="D1616" t="n">
        <v>10</v>
      </c>
      <c r="E1616" t="inlineStr">
        <is>
          <t>J0090</t>
        </is>
      </c>
      <c r="F1616" t="inlineStr">
        <is>
          <t>新竹縣竹東鎮忠孝街4號旁工地</t>
        </is>
      </c>
      <c r="G1616" t="n">
        <v>24.7465</v>
      </c>
      <c r="H1616" t="n">
        <v>121.080595</v>
      </c>
      <c r="I1616" t="n">
        <v>8</v>
      </c>
      <c r="J1616" t="n">
        <v>3</v>
      </c>
      <c r="K1616" t="n">
        <v>199.5</v>
      </c>
      <c r="L1616" t="inlineStr">
        <is>
          <t>Primary</t>
        </is>
      </c>
    </row>
    <row r="1617">
      <c r="A1617" t="n">
        <v>1</v>
      </c>
      <c r="B1617" s="31" t="inlineStr">
        <is>
          <t>S11</t>
        </is>
      </c>
      <c r="C1617" t="inlineStr">
        <is>
          <t>PZ-C</t>
        </is>
      </c>
      <c r="D1617" t="n">
        <v>11</v>
      </c>
      <c r="E1617" t="inlineStr">
        <is>
          <t>J0086</t>
        </is>
      </c>
      <c r="F1617" t="inlineStr">
        <is>
          <t>新竹縣竹東鎮北興路三段612號旁</t>
        </is>
      </c>
      <c r="G1617" t="n">
        <v>24.750294</v>
      </c>
      <c r="H1617" t="n">
        <v>121.079834</v>
      </c>
      <c r="I1617" t="n">
        <v>8</v>
      </c>
      <c r="J1617" t="n">
        <v>3</v>
      </c>
      <c r="K1617" t="n">
        <v>210.5</v>
      </c>
      <c r="L1617" t="inlineStr">
        <is>
          <t>Primary</t>
        </is>
      </c>
    </row>
    <row r="1618">
      <c r="A1618" t="n">
        <v>1</v>
      </c>
      <c r="B1618" s="31" t="inlineStr">
        <is>
          <t>S11</t>
        </is>
      </c>
      <c r="C1618" t="inlineStr">
        <is>
          <t>PZ-C</t>
        </is>
      </c>
      <c r="D1618" t="n">
        <v>12</v>
      </c>
      <c r="E1618" t="inlineStr">
        <is>
          <t>J0082</t>
        </is>
      </c>
      <c r="F1618" t="inlineStr">
        <is>
          <t>新竹縣竹東鎮中興路2段2巷1號</t>
        </is>
      </c>
      <c r="G1618" t="n">
        <v>24.758136</v>
      </c>
      <c r="H1618" t="n">
        <v>121.068214</v>
      </c>
      <c r="I1618" t="n">
        <v>8</v>
      </c>
      <c r="J1618" t="n">
        <v>3.5</v>
      </c>
      <c r="K1618" t="n">
        <v>222</v>
      </c>
      <c r="L1618" t="inlineStr">
        <is>
          <t>Primary</t>
        </is>
      </c>
    </row>
    <row r="1619">
      <c r="A1619" t="n">
        <v>1</v>
      </c>
      <c r="B1619" s="31" t="inlineStr">
        <is>
          <t>S11</t>
        </is>
      </c>
      <c r="C1619" t="inlineStr">
        <is>
          <t>PZ-C</t>
        </is>
      </c>
      <c r="D1619" t="n">
        <v>13</v>
      </c>
      <c r="E1619" t="inlineStr">
        <is>
          <t>J0098</t>
        </is>
      </c>
      <c r="F1619" t="inlineStr">
        <is>
          <t>新竹縣竹東鎮學府路93號對面</t>
        </is>
      </c>
      <c r="G1619" t="n">
        <v>24.765522</v>
      </c>
      <c r="H1619" t="n">
        <v>121.055367</v>
      </c>
      <c r="I1619" t="n">
        <v>8</v>
      </c>
      <c r="J1619" t="n">
        <v>3.7</v>
      </c>
      <c r="K1619" t="n">
        <v>233.7</v>
      </c>
      <c r="L1619" t="inlineStr">
        <is>
          <t>Primary</t>
        </is>
      </c>
    </row>
    <row r="1620">
      <c r="A1620" t="n">
        <v>1</v>
      </c>
      <c r="B1620" s="31" t="inlineStr">
        <is>
          <t>S11</t>
        </is>
      </c>
      <c r="C1620" t="inlineStr">
        <is>
          <t>PZ-C</t>
        </is>
      </c>
      <c r="D1620" t="n">
        <v>14</v>
      </c>
      <c r="E1620" t="inlineStr">
        <is>
          <t>J0107</t>
        </is>
      </c>
      <c r="F1620" t="inlineStr">
        <is>
          <t>新竹縣芎林鄉富林路三段501巷7號隔壁工地</t>
        </is>
      </c>
      <c r="G1620" t="n">
        <v>24.7776</v>
      </c>
      <c r="H1620" t="n">
        <v>121.070403</v>
      </c>
      <c r="I1620" t="n">
        <v>8</v>
      </c>
      <c r="J1620" t="n">
        <v>4.9</v>
      </c>
      <c r="K1620" t="n">
        <v>246.6</v>
      </c>
      <c r="L1620" t="inlineStr">
        <is>
          <t>Primary</t>
        </is>
      </c>
    </row>
    <row r="1621">
      <c r="A1621" t="n">
        <v>1</v>
      </c>
      <c r="B1621" s="31" t="inlineStr">
        <is>
          <t>S11</t>
        </is>
      </c>
      <c r="C1621" t="inlineStr">
        <is>
          <t>PZ-C</t>
        </is>
      </c>
      <c r="D1621" t="n">
        <v>15</v>
      </c>
      <c r="E1621" t="inlineStr">
        <is>
          <t>J0110</t>
        </is>
      </c>
      <c r="F1621" t="inlineStr">
        <is>
          <t>新竹縣芎林鄉綠獅五街250巷口</t>
        </is>
      </c>
      <c r="G1621" t="n">
        <v>24.782295</v>
      </c>
      <c r="H1621" t="n">
        <v>121.069473</v>
      </c>
      <c r="I1621" t="n">
        <v>8</v>
      </c>
      <c r="J1621" t="n">
        <v>3</v>
      </c>
      <c r="K1621" t="n">
        <v>257.6</v>
      </c>
      <c r="L1621" t="inlineStr">
        <is>
          <t>Primary</t>
        </is>
      </c>
    </row>
    <row r="1622">
      <c r="A1622" t="n">
        <v>1</v>
      </c>
      <c r="B1622" s="31" t="inlineStr">
        <is>
          <t>S11</t>
        </is>
      </c>
      <c r="C1622" t="inlineStr">
        <is>
          <t>PZ-C</t>
        </is>
      </c>
      <c r="D1622" t="n">
        <v>16</v>
      </c>
      <c r="E1622" t="inlineStr">
        <is>
          <t>J0108</t>
        </is>
      </c>
      <c r="F1622" t="inlineStr">
        <is>
          <t>新竹縣芎林鄉綠獅一街57號</t>
        </is>
      </c>
      <c r="G1622" t="n">
        <v>24.78235</v>
      </c>
      <c r="H1622" t="n">
        <v>121.072945</v>
      </c>
      <c r="I1622" t="n">
        <v>8</v>
      </c>
      <c r="J1622" t="n">
        <v>3</v>
      </c>
      <c r="K1622" t="n">
        <v>268.6</v>
      </c>
      <c r="L1622" t="inlineStr">
        <is>
          <t>Primary</t>
        </is>
      </c>
    </row>
    <row r="1623">
      <c r="A1623" t="n">
        <v>1</v>
      </c>
      <c r="B1623" s="31" t="inlineStr">
        <is>
          <t>S11</t>
        </is>
      </c>
      <c r="C1623" t="inlineStr">
        <is>
          <t>PZ-C</t>
        </is>
      </c>
      <c r="D1623" t="n">
        <v>17</v>
      </c>
      <c r="E1623" t="inlineStr">
        <is>
          <t>J0099</t>
        </is>
      </c>
      <c r="F1623" t="inlineStr">
        <is>
          <t>新竹縣芎林鄉三民路279號</t>
        </is>
      </c>
      <c r="G1623" t="n">
        <v>24.789344</v>
      </c>
      <c r="H1623" t="n">
        <v>121.06795</v>
      </c>
      <c r="I1623" t="n">
        <v>8</v>
      </c>
      <c r="J1623" t="n">
        <v>3</v>
      </c>
      <c r="K1623" t="n">
        <v>279.6</v>
      </c>
      <c r="L1623" t="inlineStr">
        <is>
          <t>Primary</t>
        </is>
      </c>
    </row>
    <row r="1624">
      <c r="A1624" t="n">
        <v>1</v>
      </c>
      <c r="B1624" s="31" t="inlineStr">
        <is>
          <t>S11</t>
        </is>
      </c>
      <c r="C1624" t="inlineStr">
        <is>
          <t>PZ-C</t>
        </is>
      </c>
      <c r="D1624" t="n">
        <v>18</v>
      </c>
      <c r="E1624" t="inlineStr">
        <is>
          <t>J0102</t>
        </is>
      </c>
      <c r="F1624" t="inlineStr">
        <is>
          <t>新竹縣芎林鄉文德路570巷-附地標</t>
        </is>
      </c>
      <c r="G1624" t="n">
        <v>24.794605</v>
      </c>
      <c r="H1624" t="n">
        <v>121.0857</v>
      </c>
      <c r="I1624" t="n">
        <v>8</v>
      </c>
      <c r="J1624" t="n">
        <v>4.5</v>
      </c>
      <c r="K1624" t="n">
        <v>292.1</v>
      </c>
      <c r="L1624" t="inlineStr">
        <is>
          <t>Primary</t>
        </is>
      </c>
    </row>
    <row r="1625">
      <c r="A1625" t="n">
        <v>1</v>
      </c>
      <c r="B1625" s="31" t="inlineStr">
        <is>
          <t>S11</t>
        </is>
      </c>
      <c r="C1625" t="inlineStr">
        <is>
          <t>PZ-C</t>
        </is>
      </c>
      <c r="D1625" t="n">
        <v>19</v>
      </c>
      <c r="E1625" t="inlineStr">
        <is>
          <t>J0169</t>
        </is>
      </c>
      <c r="F1625" t="inlineStr">
        <is>
          <t>新竹縣新埔鎮內立坑街501巷</t>
        </is>
      </c>
      <c r="G1625" t="n">
        <v>24.804994</v>
      </c>
      <c r="H1625" t="n">
        <v>121.092811</v>
      </c>
      <c r="I1625" t="n">
        <v>8</v>
      </c>
      <c r="J1625" t="n">
        <v>3.3</v>
      </c>
      <c r="K1625" t="n">
        <v>303.3</v>
      </c>
      <c r="L1625" t="inlineStr">
        <is>
          <t>Primary</t>
        </is>
      </c>
    </row>
    <row r="1626">
      <c r="A1626" t="n">
        <v>1</v>
      </c>
      <c r="B1626" s="31" t="inlineStr">
        <is>
          <t>S11</t>
        </is>
      </c>
      <c r="C1626" t="inlineStr">
        <is>
          <t>PZ-C</t>
        </is>
      </c>
      <c r="D1626" t="n">
        <v>20</v>
      </c>
      <c r="E1626" t="inlineStr">
        <is>
          <t>J0168</t>
        </is>
      </c>
      <c r="F1626" t="inlineStr">
        <is>
          <t>新竹縣新埔鎮中正路386號</t>
        </is>
      </c>
      <c r="G1626" t="n">
        <v>24.827956</v>
      </c>
      <c r="H1626" t="n">
        <v>121.078664</v>
      </c>
      <c r="I1626" t="n">
        <v>8</v>
      </c>
      <c r="J1626" t="n">
        <v>7</v>
      </c>
      <c r="K1626" t="n">
        <v>318.4</v>
      </c>
      <c r="L1626" t="inlineStr">
        <is>
          <t>Primary</t>
        </is>
      </c>
    </row>
    <row r="1627">
      <c r="A1627" t="n">
        <v>1</v>
      </c>
      <c r="B1627" s="31" t="inlineStr">
        <is>
          <t>S11</t>
        </is>
      </c>
      <c r="C1627" t="inlineStr">
        <is>
          <t>PZ-C</t>
        </is>
      </c>
      <c r="D1627" t="n">
        <v>21</v>
      </c>
      <c r="E1627" t="inlineStr">
        <is>
          <t>J0174</t>
        </is>
      </c>
      <c r="F1627" t="inlineStr">
        <is>
          <t>新竹縣新埔鎮和平街311號</t>
        </is>
      </c>
      <c r="G1627" t="n">
        <v>24.827067</v>
      </c>
      <c r="H1627" t="n">
        <v>121.072495</v>
      </c>
      <c r="I1627" t="n">
        <v>8</v>
      </c>
      <c r="J1627" t="n">
        <v>3</v>
      </c>
      <c r="K1627" t="n">
        <v>329.4</v>
      </c>
      <c r="L1627" t="inlineStr">
        <is>
          <t>Primary</t>
        </is>
      </c>
    </row>
    <row r="1628">
      <c r="A1628" t="n">
        <v>1</v>
      </c>
      <c r="B1628" s="31" t="inlineStr">
        <is>
          <t>S11</t>
        </is>
      </c>
      <c r="C1628" t="inlineStr">
        <is>
          <t>PZ-C</t>
        </is>
      </c>
      <c r="D1628" t="n">
        <v>22</v>
      </c>
      <c r="E1628" t="inlineStr">
        <is>
          <t>J0173</t>
        </is>
      </c>
      <c r="F1628" t="inlineStr">
        <is>
          <t>新竹縣新埔鎮田新路741號對面(鳳山溪河濱運動公園)</t>
        </is>
      </c>
      <c r="G1628" t="n">
        <v>24.824984</v>
      </c>
      <c r="H1628" t="n">
        <v>121.068573</v>
      </c>
      <c r="I1628" t="n">
        <v>8</v>
      </c>
      <c r="J1628" t="n">
        <v>3</v>
      </c>
      <c r="K1628" t="n">
        <v>340.4</v>
      </c>
      <c r="L1628" t="inlineStr">
        <is>
          <t>Primary</t>
        </is>
      </c>
    </row>
    <row r="1629">
      <c r="A1629" t="n">
        <v>1</v>
      </c>
      <c r="B1629" s="31" t="inlineStr">
        <is>
          <t>S11</t>
        </is>
      </c>
      <c r="C1629" t="inlineStr">
        <is>
          <t>PZ-C</t>
        </is>
      </c>
      <c r="D1629" t="n">
        <v>23</v>
      </c>
      <c r="E1629" t="inlineStr">
        <is>
          <t>J0171</t>
        </is>
      </c>
      <c r="F1629" t="inlineStr">
        <is>
          <t>新竹縣新埔鎮文山路亞東段-附座標</t>
        </is>
      </c>
      <c r="G1629" t="n">
        <v>24.82467</v>
      </c>
      <c r="H1629" t="n">
        <v>121.064639</v>
      </c>
      <c r="I1629" t="n">
        <v>8</v>
      </c>
      <c r="J1629" t="n">
        <v>3</v>
      </c>
      <c r="K1629" t="n">
        <v>351.4</v>
      </c>
      <c r="L1629" t="inlineStr">
        <is>
          <t>Primary</t>
        </is>
      </c>
    </row>
    <row r="1630">
      <c r="A1630" t="n">
        <v>1</v>
      </c>
      <c r="B1630" s="31" t="inlineStr">
        <is>
          <t>S11</t>
        </is>
      </c>
      <c r="C1630" t="inlineStr">
        <is>
          <t>PZ-C</t>
        </is>
      </c>
      <c r="D1630" t="n">
        <v>24</v>
      </c>
      <c r="E1630" t="inlineStr">
        <is>
          <t>J0170</t>
        </is>
      </c>
      <c r="F1630" t="inlineStr">
        <is>
          <t>新竹縣新埔鎮文山路亞東段369號</t>
        </is>
      </c>
      <c r="G1630" t="n">
        <v>24.828364</v>
      </c>
      <c r="H1630" t="n">
        <v>121.056431</v>
      </c>
      <c r="I1630" t="n">
        <v>32</v>
      </c>
      <c r="J1630" t="n">
        <v>3</v>
      </c>
      <c r="K1630" t="n">
        <v>386.4</v>
      </c>
      <c r="L1630" t="inlineStr">
        <is>
          <t>Primary</t>
        </is>
      </c>
    </row>
    <row r="1631">
      <c r="A1631" t="n">
        <v>1</v>
      </c>
      <c r="B1631" s="31" t="inlineStr">
        <is>
          <t>S11</t>
        </is>
      </c>
      <c r="C1631" t="inlineStr">
        <is>
          <t>PZ-C</t>
        </is>
      </c>
      <c r="D1631" t="n">
        <v>25</v>
      </c>
      <c r="E1631" t="inlineStr">
        <is>
          <t>J0172</t>
        </is>
      </c>
      <c r="F1631" t="inlineStr">
        <is>
          <t>新竹縣新埔鎮文華路92號-黎頭山營區</t>
        </is>
      </c>
      <c r="G1631" t="n">
        <v>24.826706</v>
      </c>
      <c r="H1631" t="n">
        <v>121.042077</v>
      </c>
      <c r="I1631" t="n">
        <v>16</v>
      </c>
      <c r="J1631" t="n">
        <v>3.5</v>
      </c>
      <c r="K1631" t="n">
        <v>405.9</v>
      </c>
      <c r="L1631" t="inlineStr">
        <is>
          <t>Primary</t>
        </is>
      </c>
    </row>
    <row r="1632">
      <c r="A1632" t="n">
        <v>1</v>
      </c>
      <c r="B1632" s="31" t="inlineStr">
        <is>
          <t>S11</t>
        </is>
      </c>
      <c r="C1632" t="inlineStr">
        <is>
          <t>PZ-C</t>
        </is>
      </c>
      <c r="D1632" t="n">
        <v>26</v>
      </c>
      <c r="E1632" t="inlineStr">
        <is>
          <t>J0064</t>
        </is>
      </c>
      <c r="F1632" t="inlineStr">
        <is>
          <t>新竹縣竹北市嘉興五街&amp;十興五街交叉口</t>
        </is>
      </c>
      <c r="G1632" t="n">
        <v>24.823867</v>
      </c>
      <c r="H1632" t="n">
        <v>121.036844</v>
      </c>
      <c r="I1632" t="n">
        <v>8</v>
      </c>
      <c r="J1632" t="n">
        <v>3</v>
      </c>
      <c r="K1632" t="n">
        <v>416.9</v>
      </c>
      <c r="L1632" t="inlineStr">
        <is>
          <t>Primary</t>
        </is>
      </c>
    </row>
    <row r="1633">
      <c r="A1633" t="n">
        <v>1</v>
      </c>
      <c r="B1633" s="31" t="inlineStr">
        <is>
          <t>S11</t>
        </is>
      </c>
      <c r="C1633" t="inlineStr">
        <is>
          <t>PZ-C</t>
        </is>
      </c>
      <c r="D1633" t="n">
        <v>27</v>
      </c>
      <c r="E1633" t="inlineStr">
        <is>
          <t>J0044</t>
        </is>
      </c>
      <c r="F1633" t="inlineStr">
        <is>
          <t>新竹縣竹北市勝利七街2段94號</t>
        </is>
      </c>
      <c r="G1633" t="n">
        <v>24.821973</v>
      </c>
      <c r="H1633" t="n">
        <v>121.033566</v>
      </c>
      <c r="I1633" t="n">
        <v>8</v>
      </c>
      <c r="J1633" t="n">
        <v>3</v>
      </c>
      <c r="K1633" t="n">
        <v>427.9</v>
      </c>
      <c r="L1633" t="inlineStr">
        <is>
          <t>Primary</t>
        </is>
      </c>
    </row>
    <row r="1634">
      <c r="A1634" t="n">
        <v>1</v>
      </c>
      <c r="B1634" s="31" t="inlineStr">
        <is>
          <t>S11</t>
        </is>
      </c>
      <c r="C1634" t="inlineStr">
        <is>
          <t>PZ-C</t>
        </is>
      </c>
      <c r="D1634" t="n">
        <v>28</v>
      </c>
      <c r="E1634" t="inlineStr">
        <is>
          <t>J0063</t>
        </is>
      </c>
      <c r="F1634" t="inlineStr">
        <is>
          <t>新竹縣竹北市嘉興一街與十興一街交叉口</t>
        </is>
      </c>
      <c r="G1634" t="n">
        <v>24.824045</v>
      </c>
      <c r="H1634" t="n">
        <v>121.032953</v>
      </c>
      <c r="I1634" t="n">
        <v>8</v>
      </c>
      <c r="J1634" t="n">
        <v>3</v>
      </c>
      <c r="K1634" t="n">
        <v>438.9</v>
      </c>
      <c r="L1634" t="inlineStr">
        <is>
          <t>Primary</t>
        </is>
      </c>
    </row>
    <row r="1635">
      <c r="A1635" t="n">
        <v>1</v>
      </c>
      <c r="B1635" s="31" t="inlineStr">
        <is>
          <t>S11</t>
        </is>
      </c>
      <c r="C1635" t="inlineStr">
        <is>
          <t>PZ-C</t>
        </is>
      </c>
      <c r="D1635" t="n">
        <v>29</v>
      </c>
      <c r="E1635" t="inlineStr">
        <is>
          <t>J0181</t>
        </is>
      </c>
      <c r="F1635" t="inlineStr">
        <is>
          <t>新竹縣新埔鎮褒忠路91號(檸檬樹幼兒園對面工地)</t>
        </is>
      </c>
      <c r="G1635" t="n">
        <v>24.8293465</v>
      </c>
      <c r="H1635" t="n">
        <v>121.0358955</v>
      </c>
      <c r="I1635" t="n">
        <v>16</v>
      </c>
      <c r="J1635" t="n">
        <v>3</v>
      </c>
      <c r="K1635" t="n">
        <v>457.9</v>
      </c>
      <c r="L1635" t="inlineStr">
        <is>
          <t>Primary</t>
        </is>
      </c>
    </row>
    <row r="1636">
      <c r="A1636" t="n">
        <v>1</v>
      </c>
      <c r="B1636" s="31" t="inlineStr">
        <is>
          <t>S11</t>
        </is>
      </c>
      <c r="C1636" t="inlineStr">
        <is>
          <t>PZ-C</t>
        </is>
      </c>
      <c r="D1636" t="n">
        <v>30</v>
      </c>
      <c r="E1636" t="inlineStr">
        <is>
          <t>J0179</t>
        </is>
      </c>
      <c r="F1636" t="inlineStr">
        <is>
          <t>新竹縣新埔鎮福祿二街63號旁</t>
        </is>
      </c>
      <c r="G1636" t="n">
        <v>24.833439</v>
      </c>
      <c r="H1636" t="n">
        <v>121.030431</v>
      </c>
      <c r="I1636" t="n">
        <v>8</v>
      </c>
      <c r="J1636" t="n">
        <v>3</v>
      </c>
      <c r="K1636" t="n">
        <v>468.9</v>
      </c>
      <c r="L1636" t="inlineStr">
        <is>
          <t>Primary</t>
        </is>
      </c>
    </row>
    <row r="1637">
      <c r="A1637" t="n">
        <v>1</v>
      </c>
      <c r="B1637" s="31" t="inlineStr">
        <is>
          <t>S11</t>
        </is>
      </c>
      <c r="C1637" t="inlineStr">
        <is>
          <t>PZ-C</t>
        </is>
      </c>
      <c r="D1637" t="n">
        <v>31</v>
      </c>
      <c r="E1637" t="inlineStr">
        <is>
          <t>J0178</t>
        </is>
      </c>
      <c r="F1637" t="inlineStr">
        <is>
          <t>新竹縣新埔鎮福祿七街21號對面</t>
        </is>
      </c>
      <c r="G1637" t="n">
        <v>24.834669</v>
      </c>
      <c r="H1637" t="n">
        <v>121.031314</v>
      </c>
      <c r="I1637" t="n">
        <v>8</v>
      </c>
      <c r="J1637" t="n">
        <v>3</v>
      </c>
      <c r="K1637" t="n">
        <v>479.9</v>
      </c>
      <c r="L1637" t="inlineStr">
        <is>
          <t>Primary</t>
        </is>
      </c>
    </row>
    <row r="1638">
      <c r="A1638" t="n">
        <v>1</v>
      </c>
      <c r="B1638" s="31" t="inlineStr">
        <is>
          <t>S11</t>
        </is>
      </c>
      <c r="C1638" t="inlineStr">
        <is>
          <t>PZ-C</t>
        </is>
      </c>
      <c r="D1638" t="n">
        <v>32</v>
      </c>
      <c r="E1638" t="inlineStr">
        <is>
          <t>J0180</t>
        </is>
      </c>
      <c r="F1638" t="inlineStr">
        <is>
          <t>新竹縣新埔鎮福祿八街&amp;福祿十街交叉口</t>
        </is>
      </c>
      <c r="G1638" t="n">
        <v>24.835736</v>
      </c>
      <c r="H1638" t="n">
        <v>121.032536</v>
      </c>
      <c r="I1638" t="n">
        <v>8</v>
      </c>
      <c r="J1638" t="n">
        <v>3</v>
      </c>
      <c r="K1638" t="n">
        <v>490.9</v>
      </c>
      <c r="L1638" t="inlineStr">
        <is>
          <t>Primary</t>
        </is>
      </c>
    </row>
    <row r="1639">
      <c r="A1639" t="n">
        <v>1</v>
      </c>
      <c r="B1639" s="31" t="inlineStr">
        <is>
          <t>S11</t>
        </is>
      </c>
      <c r="C1639" t="inlineStr">
        <is>
          <t>PZ-C</t>
        </is>
      </c>
      <c r="D1639" t="n">
        <v>33</v>
      </c>
      <c r="E1639" t="inlineStr">
        <is>
          <t>J0002</t>
        </is>
      </c>
      <c r="F1639" t="inlineStr">
        <is>
          <t>新竹縣竹北市十興路291號-緯創-A5-聯發廠</t>
        </is>
      </c>
      <c r="G1639" t="n">
        <v>24.830703</v>
      </c>
      <c r="H1639" t="n">
        <v>121.025456</v>
      </c>
      <c r="I1639" t="n">
        <v>16</v>
      </c>
      <c r="J1639" t="n">
        <v>3</v>
      </c>
      <c r="K1639" t="n">
        <v>509.9</v>
      </c>
      <c r="L1639" t="inlineStr">
        <is>
          <t>Primary</t>
        </is>
      </c>
    </row>
    <row r="1640">
      <c r="A1640" t="n">
        <v>2</v>
      </c>
      <c r="B1640" s="31" t="inlineStr">
        <is>
          <t>S11</t>
        </is>
      </c>
      <c r="C1640" t="inlineStr">
        <is>
          <t>PZ-C</t>
        </is>
      </c>
      <c r="D1640" t="n">
        <v>1</v>
      </c>
      <c r="E1640" t="inlineStr">
        <is>
          <t>H0619</t>
        </is>
      </c>
      <c r="F1640" t="inlineStr">
        <is>
          <t>桃園市桃園區新埔三街43巷1號旁</t>
        </is>
      </c>
      <c r="G1640" t="n">
        <v>25.010506</v>
      </c>
      <c r="H1640" t="n">
        <v>121.303267</v>
      </c>
      <c r="I1640" t="n">
        <v>8</v>
      </c>
      <c r="J1640" t="n">
        <v>13.9</v>
      </c>
      <c r="K1640" t="n">
        <v>21.9</v>
      </c>
      <c r="L1640" t="inlineStr">
        <is>
          <t>Primary</t>
        </is>
      </c>
    </row>
    <row r="1641">
      <c r="A1641" t="n">
        <v>2</v>
      </c>
      <c r="B1641" s="31" t="inlineStr">
        <is>
          <t>S11</t>
        </is>
      </c>
      <c r="C1641" t="inlineStr">
        <is>
          <t>PZ-C</t>
        </is>
      </c>
      <c r="D1641" t="n">
        <v>2</v>
      </c>
      <c r="E1641" t="inlineStr">
        <is>
          <t>H0621</t>
        </is>
      </c>
      <c r="F1641" t="inlineStr">
        <is>
          <t>桃園市桃園區新埔六街2號對面-慈文國小對面工地</t>
        </is>
      </c>
      <c r="G1641" t="n">
        <v>25.012208</v>
      </c>
      <c r="H1641" t="n">
        <v>121.303628</v>
      </c>
      <c r="I1641" t="n">
        <v>16</v>
      </c>
      <c r="J1641" t="n">
        <v>3</v>
      </c>
      <c r="K1641" t="n">
        <v>40.9</v>
      </c>
      <c r="L1641" t="inlineStr">
        <is>
          <t>Primary</t>
        </is>
      </c>
    </row>
    <row r="1642">
      <c r="A1642" t="n">
        <v>2</v>
      </c>
      <c r="B1642" s="31" t="inlineStr">
        <is>
          <t>S11</t>
        </is>
      </c>
      <c r="C1642" t="inlineStr">
        <is>
          <t>PZ-C</t>
        </is>
      </c>
      <c r="D1642" t="n">
        <v>3</v>
      </c>
      <c r="E1642" t="inlineStr">
        <is>
          <t>H0903</t>
        </is>
      </c>
      <c r="F1642" t="inlineStr">
        <is>
          <t>桃園市蘆竹區大竹北路90-66號</t>
        </is>
      </c>
      <c r="G1642" t="n">
        <v>25.032092</v>
      </c>
      <c r="H1642" t="n">
        <v>121.251433</v>
      </c>
      <c r="I1642" t="n">
        <v>16</v>
      </c>
      <c r="J1642" t="n">
        <v>13.7</v>
      </c>
      <c r="K1642" t="n">
        <v>70.59999999999999</v>
      </c>
      <c r="L1642" t="inlineStr">
        <is>
          <t>Primary</t>
        </is>
      </c>
    </row>
    <row r="1643">
      <c r="A1643" t="n">
        <v>2</v>
      </c>
      <c r="B1643" s="31" t="inlineStr">
        <is>
          <t>S11</t>
        </is>
      </c>
      <c r="C1643" t="inlineStr">
        <is>
          <t>PZ-C</t>
        </is>
      </c>
      <c r="D1643" t="n">
        <v>4</v>
      </c>
      <c r="E1643" t="inlineStr">
        <is>
          <t>H0095</t>
        </is>
      </c>
      <c r="F1643" t="inlineStr">
        <is>
          <t>桃園市大園區大竹北路1085巷165號25°02'36.1"N 121°14'09.7"E</t>
        </is>
      </c>
      <c r="G1643" t="n">
        <v>25.043452</v>
      </c>
      <c r="H1643" t="n">
        <v>121.236177</v>
      </c>
      <c r="I1643" t="n">
        <v>8</v>
      </c>
      <c r="J1643" t="n">
        <v>4.8</v>
      </c>
      <c r="K1643" t="n">
        <v>83.3</v>
      </c>
      <c r="L1643" t="inlineStr">
        <is>
          <t>Primary</t>
        </is>
      </c>
    </row>
    <row r="1644">
      <c r="A1644" t="n">
        <v>2</v>
      </c>
      <c r="B1644" s="31" t="inlineStr">
        <is>
          <t>S11</t>
        </is>
      </c>
      <c r="C1644" t="inlineStr">
        <is>
          <t>PZ-C</t>
        </is>
      </c>
      <c r="D1644" t="n">
        <v>5</v>
      </c>
      <c r="E1644" t="inlineStr">
        <is>
          <t>H0094</t>
        </is>
      </c>
      <c r="F1644" t="inlineStr">
        <is>
          <t>桃園市大園區大竹北路1085巷121號附近-重劃區</t>
        </is>
      </c>
      <c r="G1644" t="n">
        <v>25.043947</v>
      </c>
      <c r="H1644" t="n">
        <v>121.235786</v>
      </c>
      <c r="I1644" t="n">
        <v>8</v>
      </c>
      <c r="J1644" t="n">
        <v>2</v>
      </c>
      <c r="K1644" t="n">
        <v>93.3</v>
      </c>
      <c r="L1644" t="inlineStr">
        <is>
          <t>Primary</t>
        </is>
      </c>
    </row>
    <row r="1645">
      <c r="A1645" t="n">
        <v>2</v>
      </c>
      <c r="B1645" s="31" t="inlineStr">
        <is>
          <t>S11</t>
        </is>
      </c>
      <c r="C1645" t="inlineStr">
        <is>
          <t>PZ-C</t>
        </is>
      </c>
      <c r="D1645" t="n">
        <v>6</v>
      </c>
      <c r="E1645" t="inlineStr">
        <is>
          <t>H0093</t>
        </is>
      </c>
      <c r="F1645" t="inlineStr">
        <is>
          <t>桃園市大園區大竹北路1085巷107號-大園重劃區-附地標</t>
        </is>
      </c>
      <c r="G1645" t="n">
        <v>25.043633</v>
      </c>
      <c r="H1645" t="n">
        <v>121.235216</v>
      </c>
      <c r="I1645" t="n">
        <v>8</v>
      </c>
      <c r="J1645" t="n">
        <v>2</v>
      </c>
      <c r="K1645" t="n">
        <v>103.3</v>
      </c>
      <c r="L1645" t="inlineStr">
        <is>
          <t>Primary</t>
        </is>
      </c>
    </row>
    <row r="1646">
      <c r="A1646" t="n">
        <v>2</v>
      </c>
      <c r="B1646" s="31" t="inlineStr">
        <is>
          <t>S11</t>
        </is>
      </c>
      <c r="C1646" t="inlineStr">
        <is>
          <t>PZ-C</t>
        </is>
      </c>
      <c r="D1646" t="n">
        <v>7</v>
      </c>
      <c r="E1646" t="inlineStr">
        <is>
          <t>J0160</t>
        </is>
      </c>
      <c r="F1646" t="inlineStr">
        <is>
          <t>新竹縣湖口鄉嘉興路一段-O區-電聯定位</t>
        </is>
      </c>
      <c r="G1646" t="n">
        <v>24.926445</v>
      </c>
      <c r="H1646" t="n">
        <v>121.056286</v>
      </c>
      <c r="I1646" t="n">
        <v>24</v>
      </c>
      <c r="J1646" t="n">
        <v>22.2</v>
      </c>
      <c r="K1646" t="n">
        <v>149.6</v>
      </c>
      <c r="L1646" t="inlineStr">
        <is>
          <t>Primary</t>
        </is>
      </c>
    </row>
    <row r="1647">
      <c r="A1647" t="n">
        <v>2</v>
      </c>
      <c r="B1647" s="31" t="inlineStr">
        <is>
          <t>S11</t>
        </is>
      </c>
      <c r="C1647" t="inlineStr">
        <is>
          <t>PZ-C</t>
        </is>
      </c>
      <c r="D1647" t="n">
        <v>8</v>
      </c>
      <c r="E1647" t="inlineStr">
        <is>
          <t>J0158</t>
        </is>
      </c>
      <c r="F1647" t="inlineStr">
        <is>
          <t>新竹縣湖口鄉嘉興路1段88巷-工務所</t>
        </is>
      </c>
      <c r="G1647" t="n">
        <v>24.924945</v>
      </c>
      <c r="H1647" t="n">
        <v>121.055111</v>
      </c>
      <c r="I1647" t="n">
        <v>16</v>
      </c>
      <c r="J1647" t="n">
        <v>3</v>
      </c>
      <c r="K1647" t="n">
        <v>168.6</v>
      </c>
      <c r="L1647" t="inlineStr">
        <is>
          <t>Primary</t>
        </is>
      </c>
    </row>
    <row r="1648">
      <c r="A1648" t="n">
        <v>2</v>
      </c>
      <c r="B1648" s="31" t="inlineStr">
        <is>
          <t>S11</t>
        </is>
      </c>
      <c r="C1648" t="inlineStr">
        <is>
          <t>PZ-C</t>
        </is>
      </c>
      <c r="D1648" t="n">
        <v>9</v>
      </c>
      <c r="E1648" t="inlineStr">
        <is>
          <t>J0143</t>
        </is>
      </c>
      <c r="F1648" t="inlineStr">
        <is>
          <t>新竹縣湖口鄉東楊路196巷12號-電聯帶定位</t>
        </is>
      </c>
      <c r="G1648" t="n">
        <v>24.915161</v>
      </c>
      <c r="H1648" t="n">
        <v>121.057939</v>
      </c>
      <c r="I1648" t="n">
        <v>8</v>
      </c>
      <c r="J1648" t="n">
        <v>3</v>
      </c>
      <c r="K1648" t="n">
        <v>179.6</v>
      </c>
      <c r="L1648" t="inlineStr">
        <is>
          <t>Primary</t>
        </is>
      </c>
    </row>
    <row r="1649">
      <c r="A1649" t="n">
        <v>2</v>
      </c>
      <c r="B1649" s="31" t="inlineStr">
        <is>
          <t>S11</t>
        </is>
      </c>
      <c r="C1649" t="inlineStr">
        <is>
          <t>PZ-C</t>
        </is>
      </c>
      <c r="D1649" t="n">
        <v>10</v>
      </c>
      <c r="E1649" t="inlineStr">
        <is>
          <t>J0147</t>
        </is>
      </c>
      <c r="F1649" t="inlineStr">
        <is>
          <t>新竹縣湖口鄉信義街98號旁工地-工務所</t>
        </is>
      </c>
      <c r="G1649" t="n">
        <v>24.906831</v>
      </c>
      <c r="H1649" t="n">
        <v>121.048819</v>
      </c>
      <c r="I1649" t="n">
        <v>48</v>
      </c>
      <c r="J1649" t="n">
        <v>3.1</v>
      </c>
      <c r="K1649" t="n">
        <v>230.7</v>
      </c>
      <c r="L1649" t="inlineStr">
        <is>
          <t>Primary</t>
        </is>
      </c>
    </row>
    <row r="1650">
      <c r="A1650" t="n">
        <v>2</v>
      </c>
      <c r="B1650" s="31" t="inlineStr">
        <is>
          <t>S11</t>
        </is>
      </c>
      <c r="C1650" t="inlineStr">
        <is>
          <t>PZ-C</t>
        </is>
      </c>
      <c r="D1650" t="n">
        <v>11</v>
      </c>
      <c r="E1650" t="inlineStr">
        <is>
          <t>J0126</t>
        </is>
      </c>
      <c r="F1650" t="inlineStr">
        <is>
          <t>新竹縣湖口鄉中平路一段101巷3號旁</t>
        </is>
      </c>
      <c r="G1650" t="n">
        <v>24.902089</v>
      </c>
      <c r="H1650" t="n">
        <v>121.052064</v>
      </c>
      <c r="I1650" t="n">
        <v>8</v>
      </c>
      <c r="J1650" t="n">
        <v>3</v>
      </c>
      <c r="K1650" t="n">
        <v>241.7</v>
      </c>
      <c r="L1650" t="inlineStr">
        <is>
          <t>Primary</t>
        </is>
      </c>
    </row>
    <row r="1651">
      <c r="A1651" t="n">
        <v>2</v>
      </c>
      <c r="B1651" s="31" t="inlineStr">
        <is>
          <t>S11</t>
        </is>
      </c>
      <c r="C1651" t="inlineStr">
        <is>
          <t>PZ-C</t>
        </is>
      </c>
      <c r="D1651" t="n">
        <v>12</v>
      </c>
      <c r="E1651" t="inlineStr">
        <is>
          <t>J0150</t>
        </is>
      </c>
      <c r="F1651" t="inlineStr">
        <is>
          <t>新竹縣湖口鄉健康街17號</t>
        </is>
      </c>
      <c r="G1651" t="n">
        <v>24.899127</v>
      </c>
      <c r="H1651" t="n">
        <v>121.048455</v>
      </c>
      <c r="I1651" t="n">
        <v>8</v>
      </c>
      <c r="J1651" t="n">
        <v>3</v>
      </c>
      <c r="K1651" t="n">
        <v>252.7</v>
      </c>
      <c r="L1651" t="inlineStr">
        <is>
          <t>Primary</t>
        </is>
      </c>
    </row>
    <row r="1652">
      <c r="A1652" t="n">
        <v>2</v>
      </c>
      <c r="B1652" s="31" t="inlineStr">
        <is>
          <t>S11</t>
        </is>
      </c>
      <c r="C1652" t="inlineStr">
        <is>
          <t>PZ-C</t>
        </is>
      </c>
      <c r="D1652" t="n">
        <v>13</v>
      </c>
      <c r="E1652" t="inlineStr">
        <is>
          <t>J0132</t>
        </is>
      </c>
      <c r="F1652" t="inlineStr">
        <is>
          <t>新竹縣湖口鄉中愛路151巷</t>
        </is>
      </c>
      <c r="G1652" t="n">
        <v>24.898002</v>
      </c>
      <c r="H1652" t="n">
        <v>121.054122</v>
      </c>
      <c r="I1652" t="n">
        <v>16</v>
      </c>
      <c r="J1652" t="n">
        <v>3</v>
      </c>
      <c r="K1652" t="n">
        <v>271.7</v>
      </c>
      <c r="L1652" t="inlineStr">
        <is>
          <t>Primary</t>
        </is>
      </c>
    </row>
    <row r="1653">
      <c r="A1653" t="n">
        <v>2</v>
      </c>
      <c r="B1653" s="31" t="inlineStr">
        <is>
          <t>S11</t>
        </is>
      </c>
      <c r="C1653" t="inlineStr">
        <is>
          <t>PZ-C</t>
        </is>
      </c>
      <c r="D1653" t="n">
        <v>14</v>
      </c>
      <c r="E1653" t="inlineStr">
        <is>
          <t>J0128</t>
        </is>
      </c>
      <c r="F1653" t="inlineStr">
        <is>
          <t>新竹縣湖口鄉中正路二段218號旁工地</t>
        </is>
      </c>
      <c r="G1653" t="n">
        <v>24.890444</v>
      </c>
      <c r="H1653" t="n">
        <v>121.050778</v>
      </c>
      <c r="I1653" t="n">
        <v>8</v>
      </c>
      <c r="J1653" t="n">
        <v>3</v>
      </c>
      <c r="K1653" t="n">
        <v>282.7</v>
      </c>
      <c r="L1653" t="inlineStr">
        <is>
          <t>Primary</t>
        </is>
      </c>
    </row>
    <row r="1654">
      <c r="A1654" t="n">
        <v>2</v>
      </c>
      <c r="B1654" s="31" t="inlineStr">
        <is>
          <t>S11</t>
        </is>
      </c>
      <c r="C1654" t="inlineStr">
        <is>
          <t>PZ-C</t>
        </is>
      </c>
      <c r="D1654" t="n">
        <v>15</v>
      </c>
      <c r="E1654" t="inlineStr">
        <is>
          <t>J0155</t>
        </is>
      </c>
      <c r="F1654" t="inlineStr">
        <is>
          <t>新竹縣湖口鄉湖鏡村美城路188巷17號-附定位圖</t>
        </is>
      </c>
      <c r="G1654" t="n">
        <v>24.885986</v>
      </c>
      <c r="H1654" t="n">
        <v>121.048375</v>
      </c>
      <c r="I1654" t="n">
        <v>8</v>
      </c>
      <c r="J1654" t="n">
        <v>3</v>
      </c>
      <c r="K1654" t="n">
        <v>293.7</v>
      </c>
      <c r="L1654" t="inlineStr">
        <is>
          <t>Primary</t>
        </is>
      </c>
    </row>
    <row r="1655">
      <c r="A1655" t="n">
        <v>2</v>
      </c>
      <c r="B1655" s="31" t="inlineStr">
        <is>
          <t>S11</t>
        </is>
      </c>
      <c r="C1655" t="inlineStr">
        <is>
          <t>PZ-C</t>
        </is>
      </c>
      <c r="D1655" t="n">
        <v>16</v>
      </c>
      <c r="E1655" t="inlineStr">
        <is>
          <t>J0127</t>
        </is>
      </c>
      <c r="F1655" t="inlineStr">
        <is>
          <t>新竹縣湖口鄉中正六街253號</t>
        </is>
      </c>
      <c r="G1655" t="n">
        <v>24.893925</v>
      </c>
      <c r="H1655" t="n">
        <v>121.043736</v>
      </c>
      <c r="I1655" t="n">
        <v>8</v>
      </c>
      <c r="J1655" t="n">
        <v>3</v>
      </c>
      <c r="K1655" t="n">
        <v>304.7</v>
      </c>
      <c r="L1655" t="inlineStr">
        <is>
          <t>Primary</t>
        </is>
      </c>
    </row>
    <row r="1656">
      <c r="A1656" t="n">
        <v>2</v>
      </c>
      <c r="B1656" s="31" t="inlineStr">
        <is>
          <t>S11</t>
        </is>
      </c>
      <c r="C1656" t="inlineStr">
        <is>
          <t>PZ-C</t>
        </is>
      </c>
      <c r="D1656" t="n">
        <v>17</v>
      </c>
      <c r="E1656" t="inlineStr">
        <is>
          <t>J0114</t>
        </is>
      </c>
      <c r="F1656" t="inlineStr">
        <is>
          <t>新竹縣湖口鄉八德路一段&amp;中山路一段交叉口</t>
        </is>
      </c>
      <c r="G1656" t="n">
        <v>24.881834</v>
      </c>
      <c r="H1656" t="n">
        <v>121.037514</v>
      </c>
      <c r="I1656" t="n">
        <v>40</v>
      </c>
      <c r="J1656" t="n">
        <v>3.6</v>
      </c>
      <c r="K1656" t="n">
        <v>348.3</v>
      </c>
      <c r="L1656" t="inlineStr">
        <is>
          <t>Primary</t>
        </is>
      </c>
    </row>
    <row r="1657">
      <c r="A1657" t="n">
        <v>2</v>
      </c>
      <c r="B1657" s="31" t="inlineStr">
        <is>
          <t>S11</t>
        </is>
      </c>
      <c r="C1657" t="inlineStr">
        <is>
          <t>PZ-C</t>
        </is>
      </c>
      <c r="D1657" t="n">
        <v>18</v>
      </c>
      <c r="E1657" t="inlineStr">
        <is>
          <t>J0149</t>
        </is>
      </c>
      <c r="F1657" t="inlineStr">
        <is>
          <t>新竹縣湖口鄉軍功路1號-584旅湖南營區</t>
        </is>
      </c>
      <c r="G1657" t="n">
        <v>24.87695</v>
      </c>
      <c r="H1657" t="n">
        <v>121.033761</v>
      </c>
      <c r="I1657" t="n">
        <v>24</v>
      </c>
      <c r="J1657" t="n">
        <v>3</v>
      </c>
      <c r="K1657" t="n">
        <v>375.3</v>
      </c>
      <c r="L1657" t="inlineStr">
        <is>
          <t>Primary</t>
        </is>
      </c>
    </row>
    <row r="1658">
      <c r="A1658" t="n">
        <v>2</v>
      </c>
      <c r="B1658" s="31" t="inlineStr">
        <is>
          <t>S11</t>
        </is>
      </c>
      <c r="C1658" t="inlineStr">
        <is>
          <t>PZ-C</t>
        </is>
      </c>
      <c r="D1658" t="n">
        <v>19</v>
      </c>
      <c r="E1658" t="inlineStr">
        <is>
          <t>J0133</t>
        </is>
      </c>
      <c r="F1658" t="inlineStr">
        <is>
          <t>新竹縣湖口鄉光復北路11號</t>
        </is>
      </c>
      <c r="G1658" t="n">
        <v>24.875334</v>
      </c>
      <c r="H1658" t="n">
        <v>121.036983</v>
      </c>
      <c r="I1658" t="n">
        <v>32</v>
      </c>
      <c r="J1658" t="n">
        <v>3</v>
      </c>
      <c r="K1658" t="n">
        <v>410.3</v>
      </c>
      <c r="L1658" t="inlineStr">
        <is>
          <t>Primary</t>
        </is>
      </c>
    </row>
    <row r="1659">
      <c r="A1659" t="n">
        <v>2</v>
      </c>
      <c r="B1659" s="31" t="inlineStr">
        <is>
          <t>S11</t>
        </is>
      </c>
      <c r="C1659" t="inlineStr">
        <is>
          <t>PZ-C</t>
        </is>
      </c>
      <c r="D1659" t="n">
        <v>20</v>
      </c>
      <c r="E1659" t="inlineStr">
        <is>
          <t>J0136</t>
        </is>
      </c>
      <c r="F1659" t="inlineStr">
        <is>
          <t>新竹縣湖口鄉光復路15號</t>
        </is>
      </c>
      <c r="G1659" t="n">
        <v>24.8724</v>
      </c>
      <c r="H1659" t="n">
        <v>121.0372</v>
      </c>
      <c r="I1659" t="n">
        <v>16</v>
      </c>
      <c r="J1659" t="n">
        <v>3</v>
      </c>
      <c r="K1659" t="n">
        <v>429.3</v>
      </c>
      <c r="L1659" t="inlineStr">
        <is>
          <t>Primary</t>
        </is>
      </c>
    </row>
    <row r="1660">
      <c r="A1660" t="n">
        <v>2</v>
      </c>
      <c r="B1660" s="31" t="inlineStr">
        <is>
          <t>S11</t>
        </is>
      </c>
      <c r="C1660" t="inlineStr">
        <is>
          <t>PZ-C</t>
        </is>
      </c>
      <c r="D1660" t="n">
        <v>21</v>
      </c>
      <c r="E1660" t="inlineStr">
        <is>
          <t>J0137</t>
        </is>
      </c>
      <c r="F1660" t="inlineStr">
        <is>
          <t>新竹縣湖口鄉光復路15號-旺矽科技</t>
        </is>
      </c>
      <c r="G1660" t="n">
        <v>24.871909</v>
      </c>
      <c r="H1660" t="n">
        <v>121.03753</v>
      </c>
      <c r="I1660" t="n">
        <v>16</v>
      </c>
      <c r="J1660" t="n">
        <v>2</v>
      </c>
      <c r="K1660" t="n">
        <v>447.3</v>
      </c>
      <c r="L1660" t="inlineStr">
        <is>
          <t>Primary</t>
        </is>
      </c>
    </row>
    <row r="1661">
      <c r="A1661" t="n">
        <v>2</v>
      </c>
      <c r="B1661" s="31" t="inlineStr">
        <is>
          <t>S11</t>
        </is>
      </c>
      <c r="C1661" t="inlineStr">
        <is>
          <t>PZ-C</t>
        </is>
      </c>
      <c r="D1661" t="n">
        <v>22</v>
      </c>
      <c r="E1661" t="inlineStr">
        <is>
          <t>J0152</t>
        </is>
      </c>
      <c r="F1661" t="inlineStr">
        <is>
          <t>新竹縣湖口鄉勝利路２段350號(湖口營區)-帶證件換證</t>
        </is>
      </c>
      <c r="G1661" t="n">
        <v>24.869556</v>
      </c>
      <c r="H1661" t="n">
        <v>121.036527</v>
      </c>
      <c r="I1661" t="n">
        <v>8</v>
      </c>
      <c r="J1661" t="n">
        <v>3</v>
      </c>
      <c r="K1661" t="n">
        <v>458.3</v>
      </c>
      <c r="L1661" t="inlineStr">
        <is>
          <t>Primary</t>
        </is>
      </c>
    </row>
    <row r="1662">
      <c r="A1662" t="n">
        <v>2</v>
      </c>
      <c r="B1662" s="31" t="inlineStr">
        <is>
          <t>S11</t>
        </is>
      </c>
      <c r="C1662" t="inlineStr">
        <is>
          <t>PZ-C</t>
        </is>
      </c>
      <c r="D1662" t="n">
        <v>23</v>
      </c>
      <c r="E1662" t="inlineStr">
        <is>
          <t>J0134</t>
        </is>
      </c>
      <c r="F1662" t="inlineStr">
        <is>
          <t>新竹縣湖口鄉光復北路22號</t>
        </is>
      </c>
      <c r="G1662" t="n">
        <v>24.87462933333333</v>
      </c>
      <c r="H1662" t="n">
        <v>121.030519</v>
      </c>
      <c r="I1662" t="n">
        <v>24</v>
      </c>
      <c r="J1662" t="n">
        <v>3</v>
      </c>
      <c r="K1662" t="n">
        <v>485.3</v>
      </c>
      <c r="L1662" t="inlineStr">
        <is>
          <t>Primary</t>
        </is>
      </c>
    </row>
    <row r="1663">
      <c r="A1663" t="n">
        <v>2</v>
      </c>
      <c r="B1663" s="31" t="inlineStr">
        <is>
          <t>S11</t>
        </is>
      </c>
      <c r="C1663" t="inlineStr">
        <is>
          <t>PZ-C</t>
        </is>
      </c>
      <c r="D1663" t="n">
        <v>24</v>
      </c>
      <c r="E1663" t="inlineStr">
        <is>
          <t>J0135</t>
        </is>
      </c>
      <c r="F1663" t="inlineStr">
        <is>
          <t>新竹縣湖口鄉光復路12號</t>
        </is>
      </c>
      <c r="G1663" t="n">
        <v>24.871325</v>
      </c>
      <c r="H1663" t="n">
        <v>121.028492</v>
      </c>
      <c r="I1663" t="n">
        <v>16</v>
      </c>
      <c r="J1663" t="n">
        <v>3</v>
      </c>
      <c r="K1663" t="n">
        <v>504.3</v>
      </c>
      <c r="L1663" t="inlineStr">
        <is>
          <t>Primary</t>
        </is>
      </c>
    </row>
    <row r="1664">
      <c r="A1664" t="n">
        <v>2</v>
      </c>
      <c r="B1664" s="31" t="inlineStr">
        <is>
          <t>S11</t>
        </is>
      </c>
      <c r="C1664" t="inlineStr">
        <is>
          <t>PZ-C</t>
        </is>
      </c>
      <c r="D1664" t="n">
        <v>25</v>
      </c>
      <c r="E1664" t="inlineStr">
        <is>
          <t>J0167</t>
        </is>
      </c>
      <c r="F1664" t="inlineStr">
        <is>
          <t>新竹縣湖口鄉蘭州四街48-1號</t>
        </is>
      </c>
      <c r="G1664" t="n">
        <v>24.869548</v>
      </c>
      <c r="H1664" t="n">
        <v>121.02467</v>
      </c>
      <c r="I1664" t="n">
        <v>8</v>
      </c>
      <c r="J1664" t="n">
        <v>3</v>
      </c>
      <c r="K1664" t="n">
        <v>515.3</v>
      </c>
      <c r="L1664" t="inlineStr">
        <is>
          <t>Primary</t>
        </is>
      </c>
    </row>
    <row r="1665">
      <c r="A1665" t="n">
        <v>3</v>
      </c>
      <c r="B1665" s="31" t="inlineStr">
        <is>
          <t>S11</t>
        </is>
      </c>
      <c r="C1665" t="inlineStr">
        <is>
          <t>PZ-C</t>
        </is>
      </c>
      <c r="D1665" t="n">
        <v>1</v>
      </c>
      <c r="E1665" t="inlineStr">
        <is>
          <t>J0116</t>
        </is>
      </c>
      <c r="F1665" t="inlineStr">
        <is>
          <t>新竹縣湖口鄉八德路三段19號旁</t>
        </is>
      </c>
      <c r="G1665" t="n">
        <v>24.890305</v>
      </c>
      <c r="H1665" t="n">
        <v>121.088108</v>
      </c>
      <c r="I1665" t="n">
        <v>16</v>
      </c>
      <c r="J1665" t="n">
        <v>14.1</v>
      </c>
      <c r="K1665" t="n">
        <v>30.1</v>
      </c>
      <c r="L1665" t="inlineStr">
        <is>
          <t>Primary</t>
        </is>
      </c>
    </row>
    <row r="1666">
      <c r="A1666" t="n">
        <v>3</v>
      </c>
      <c r="B1666" s="31" t="inlineStr">
        <is>
          <t>S11</t>
        </is>
      </c>
      <c r="C1666" t="inlineStr">
        <is>
          <t>PZ-C</t>
        </is>
      </c>
      <c r="D1666" t="n">
        <v>2</v>
      </c>
      <c r="E1666" t="inlineStr">
        <is>
          <t>J0144</t>
        </is>
      </c>
      <c r="F1666" t="inlineStr">
        <is>
          <t>新竹縣湖口鄉長泰路566巷126號工地-附地標</t>
        </is>
      </c>
      <c r="G1666" t="n">
        <v>24.897827</v>
      </c>
      <c r="H1666" t="n">
        <v>121.079459</v>
      </c>
      <c r="I1666" t="n">
        <v>8</v>
      </c>
      <c r="J1666" t="n">
        <v>3</v>
      </c>
      <c r="K1666" t="n">
        <v>41.1</v>
      </c>
      <c r="L1666" t="inlineStr">
        <is>
          <t>Primary</t>
        </is>
      </c>
    </row>
    <row r="1667">
      <c r="A1667" t="n">
        <v>3</v>
      </c>
      <c r="B1667" s="31" t="inlineStr">
        <is>
          <t>S11</t>
        </is>
      </c>
      <c r="C1667" t="inlineStr">
        <is>
          <t>PZ-C</t>
        </is>
      </c>
      <c r="D1667" t="n">
        <v>3</v>
      </c>
      <c r="E1667" t="inlineStr">
        <is>
          <t>J0145</t>
        </is>
      </c>
      <c r="F1667" t="inlineStr">
        <is>
          <t>新竹縣湖口鄉長泰路566巷126號工地-附地標-追加</t>
        </is>
      </c>
      <c r="G1667" t="n">
        <v>24.897827</v>
      </c>
      <c r="H1667" t="n">
        <v>121.079459</v>
      </c>
      <c r="I1667" t="n">
        <v>8</v>
      </c>
      <c r="J1667" t="n">
        <v>2</v>
      </c>
      <c r="K1667" t="n">
        <v>51.1</v>
      </c>
      <c r="L1667" t="inlineStr">
        <is>
          <t>Primary</t>
        </is>
      </c>
    </row>
    <row r="1668">
      <c r="A1668" t="n">
        <v>3</v>
      </c>
      <c r="B1668" s="31" t="inlineStr">
        <is>
          <t>S11</t>
        </is>
      </c>
      <c r="C1668" t="inlineStr">
        <is>
          <t>PZ-C</t>
        </is>
      </c>
      <c r="D1668" t="n">
        <v>4</v>
      </c>
      <c r="E1668" t="inlineStr">
        <is>
          <t>J0115</t>
        </is>
      </c>
      <c r="F1668" t="inlineStr">
        <is>
          <t>新竹縣湖口鄉八德路二段550號-湖口鄉農會</t>
        </is>
      </c>
      <c r="G1668" t="n">
        <v>24.882528</v>
      </c>
      <c r="H1668" t="n">
        <v>121.072528</v>
      </c>
      <c r="I1668" t="n">
        <v>32</v>
      </c>
      <c r="J1668" t="n">
        <v>4.4</v>
      </c>
      <c r="K1668" t="n">
        <v>87.5</v>
      </c>
      <c r="L1668" t="inlineStr">
        <is>
          <t>Primary</t>
        </is>
      </c>
    </row>
    <row r="1669">
      <c r="A1669" t="n">
        <v>3</v>
      </c>
      <c r="B1669" s="31" t="inlineStr">
        <is>
          <t>S11</t>
        </is>
      </c>
      <c r="C1669" t="inlineStr">
        <is>
          <t>PZ-C</t>
        </is>
      </c>
      <c r="D1669" t="n">
        <v>5</v>
      </c>
      <c r="E1669" t="inlineStr">
        <is>
          <t>J0146</t>
        </is>
      </c>
      <c r="F1669" t="inlineStr">
        <is>
          <t>新竹縣湖口鄉長富路１段225巷89號</t>
        </is>
      </c>
      <c r="G1669" t="n">
        <v>24.885814</v>
      </c>
      <c r="H1669" t="n">
        <v>121.060344</v>
      </c>
      <c r="I1669" t="n">
        <v>8</v>
      </c>
      <c r="J1669" t="n">
        <v>3.1</v>
      </c>
      <c r="K1669" t="n">
        <v>98.59999999999999</v>
      </c>
      <c r="L1669" t="inlineStr">
        <is>
          <t>Primary</t>
        </is>
      </c>
    </row>
    <row r="1670">
      <c r="A1670" t="n">
        <v>3</v>
      </c>
      <c r="B1670" s="31" t="inlineStr">
        <is>
          <t>S11</t>
        </is>
      </c>
      <c r="C1670" t="inlineStr">
        <is>
          <t>PZ-C</t>
        </is>
      </c>
      <c r="D1670" t="n">
        <v>6</v>
      </c>
      <c r="E1670" t="inlineStr">
        <is>
          <t>J0119</t>
        </is>
      </c>
      <c r="F1670" t="inlineStr">
        <is>
          <t>新竹縣湖口鄉大三鴻貨櫃場</t>
        </is>
      </c>
      <c r="G1670" t="n">
        <v>24.874403</v>
      </c>
      <c r="H1670" t="n">
        <v>121.021536</v>
      </c>
      <c r="I1670" t="n">
        <v>8</v>
      </c>
      <c r="J1670" t="n">
        <v>9.9</v>
      </c>
      <c r="K1670" t="n">
        <v>116.5</v>
      </c>
      <c r="L1670" t="inlineStr">
        <is>
          <t>Primary</t>
        </is>
      </c>
    </row>
    <row r="1671">
      <c r="A1671" t="n">
        <v>3</v>
      </c>
      <c r="B1671" s="31" t="inlineStr">
        <is>
          <t>S11</t>
        </is>
      </c>
      <c r="C1671" t="inlineStr">
        <is>
          <t>PZ-C</t>
        </is>
      </c>
      <c r="D1671" t="n">
        <v>7</v>
      </c>
      <c r="E1671" t="inlineStr">
        <is>
          <t>J0162</t>
        </is>
      </c>
      <c r="F1671" t="inlineStr">
        <is>
          <t>新竹縣湖口鄉實踐路14號-湖口工業區</t>
        </is>
      </c>
      <c r="G1671" t="n">
        <v>24.866928</v>
      </c>
      <c r="H1671" t="n">
        <v>121.016322</v>
      </c>
      <c r="I1671" t="n">
        <v>8</v>
      </c>
      <c r="J1671" t="n">
        <v>3</v>
      </c>
      <c r="K1671" t="n">
        <v>127.5</v>
      </c>
      <c r="L1671" t="inlineStr">
        <is>
          <t>Primary</t>
        </is>
      </c>
    </row>
    <row r="1672">
      <c r="A1672" t="n">
        <v>3</v>
      </c>
      <c r="B1672" s="31" t="inlineStr">
        <is>
          <t>S11</t>
        </is>
      </c>
      <c r="C1672" t="inlineStr">
        <is>
          <t>PZ-C</t>
        </is>
      </c>
      <c r="D1672" t="n">
        <v>8</v>
      </c>
      <c r="E1672" t="inlineStr">
        <is>
          <t>J0164</t>
        </is>
      </c>
      <c r="F1672" t="inlineStr">
        <is>
          <t>新竹縣湖口鄉鳳工路1號隔壁</t>
        </is>
      </c>
      <c r="G1672" t="n">
        <v>24.862064</v>
      </c>
      <c r="H1672" t="n">
        <v>121.003325</v>
      </c>
      <c r="I1672" t="n">
        <v>8</v>
      </c>
      <c r="J1672" t="n">
        <v>3.4</v>
      </c>
      <c r="K1672" t="n">
        <v>138.9</v>
      </c>
      <c r="L1672" t="inlineStr">
        <is>
          <t>Primary</t>
        </is>
      </c>
    </row>
    <row r="1673">
      <c r="A1673" t="n">
        <v>3</v>
      </c>
      <c r="B1673" s="31" t="inlineStr">
        <is>
          <t>S11</t>
        </is>
      </c>
      <c r="C1673" t="inlineStr">
        <is>
          <t>PZ-C</t>
        </is>
      </c>
      <c r="D1673" t="n">
        <v>9</v>
      </c>
      <c r="E1673" t="inlineStr">
        <is>
          <t>J0188</t>
        </is>
      </c>
      <c r="F1673" t="inlineStr">
        <is>
          <t>新竹縣新豐鄉松林街99號-松林國小對面</t>
        </is>
      </c>
      <c r="G1673" t="n">
        <v>24.869361</v>
      </c>
      <c r="H1673" t="n">
        <v>120.99173</v>
      </c>
      <c r="I1673" t="n">
        <v>8</v>
      </c>
      <c r="J1673" t="n">
        <v>3.4</v>
      </c>
      <c r="K1673" t="n">
        <v>150.3</v>
      </c>
      <c r="L1673" t="inlineStr">
        <is>
          <t>Primary</t>
        </is>
      </c>
    </row>
    <row r="1674">
      <c r="A1674" t="n">
        <v>3</v>
      </c>
      <c r="B1674" s="31" t="inlineStr">
        <is>
          <t>S11</t>
        </is>
      </c>
      <c r="C1674" t="inlineStr">
        <is>
          <t>PZ-C</t>
        </is>
      </c>
      <c r="D1674" t="n">
        <v>10</v>
      </c>
      <c r="E1674" t="inlineStr">
        <is>
          <t>J0196</t>
        </is>
      </c>
      <c r="F1674" t="inlineStr">
        <is>
          <t>新竹縣新豐鄉康泰路52號旁</t>
        </is>
      </c>
      <c r="G1674" t="n">
        <v>24.871003</v>
      </c>
      <c r="H1674" t="n">
        <v>120.989291</v>
      </c>
      <c r="I1674" t="n">
        <v>8</v>
      </c>
      <c r="J1674" t="n">
        <v>3</v>
      </c>
      <c r="K1674" t="n">
        <v>161.3</v>
      </c>
      <c r="L1674" t="inlineStr">
        <is>
          <t>Primary</t>
        </is>
      </c>
    </row>
    <row r="1675">
      <c r="A1675" t="n">
        <v>3</v>
      </c>
      <c r="B1675" s="31" t="inlineStr">
        <is>
          <t>S11</t>
        </is>
      </c>
      <c r="C1675" t="inlineStr">
        <is>
          <t>PZ-C</t>
        </is>
      </c>
      <c r="D1675" t="n">
        <v>11</v>
      </c>
      <c r="E1675" t="inlineStr">
        <is>
          <t>J0184</t>
        </is>
      </c>
      <c r="F1675" t="inlineStr">
        <is>
          <t>新竹縣新豐鄉上坑村坑子口162號-24°52'47.2"N 120°58'53.1"E</t>
        </is>
      </c>
      <c r="G1675" t="n">
        <v>24.879778</v>
      </c>
      <c r="H1675" t="n">
        <v>120.981553</v>
      </c>
      <c r="I1675" t="n">
        <v>8</v>
      </c>
      <c r="J1675" t="n">
        <v>3</v>
      </c>
      <c r="K1675" t="n">
        <v>172.3</v>
      </c>
      <c r="L1675" t="inlineStr">
        <is>
          <t>Primary</t>
        </is>
      </c>
    </row>
    <row r="1676">
      <c r="A1676" t="n">
        <v>3</v>
      </c>
      <c r="B1676" s="31" t="inlineStr">
        <is>
          <t>S11</t>
        </is>
      </c>
      <c r="C1676" t="inlineStr">
        <is>
          <t>PZ-C</t>
        </is>
      </c>
      <c r="D1676" t="n">
        <v>12</v>
      </c>
      <c r="E1676" t="inlineStr">
        <is>
          <t>J0190</t>
        </is>
      </c>
      <c r="F1676" t="inlineStr">
        <is>
          <t>新竹縣新豐鄉建興路二段452巷</t>
        </is>
      </c>
      <c r="G1676" t="n">
        <v>24.890875</v>
      </c>
      <c r="H1676" t="n">
        <v>120.988725</v>
      </c>
      <c r="I1676" t="n">
        <v>8</v>
      </c>
      <c r="J1676" t="n">
        <v>3.4</v>
      </c>
      <c r="K1676" t="n">
        <v>183.7</v>
      </c>
      <c r="L1676" t="inlineStr">
        <is>
          <t>Primary</t>
        </is>
      </c>
    </row>
    <row r="1677">
      <c r="A1677" t="n">
        <v>3</v>
      </c>
      <c r="B1677" s="31" t="inlineStr">
        <is>
          <t>S11</t>
        </is>
      </c>
      <c r="C1677" t="inlineStr">
        <is>
          <t>PZ-C</t>
        </is>
      </c>
      <c r="D1677" t="n">
        <v>13</v>
      </c>
      <c r="E1677" t="inlineStr">
        <is>
          <t>J0198</t>
        </is>
      </c>
      <c r="F1677" t="inlineStr">
        <is>
          <t>新竹縣新豐鄉新市路50號旁進去(市場)</t>
        </is>
      </c>
      <c r="G1677" t="n">
        <v>24.900392</v>
      </c>
      <c r="H1677" t="n">
        <v>120.986339</v>
      </c>
      <c r="I1677" t="n">
        <v>8</v>
      </c>
      <c r="J1677" t="n">
        <v>3</v>
      </c>
      <c r="K1677" t="n">
        <v>194.7</v>
      </c>
      <c r="L1677" t="inlineStr">
        <is>
          <t>Primary</t>
        </is>
      </c>
    </row>
    <row r="1678">
      <c r="A1678" t="n">
        <v>3</v>
      </c>
      <c r="B1678" s="31" t="inlineStr">
        <is>
          <t>S11</t>
        </is>
      </c>
      <c r="C1678" t="inlineStr">
        <is>
          <t>PZ-C</t>
        </is>
      </c>
      <c r="D1678" t="n">
        <v>14</v>
      </c>
      <c r="E1678" t="inlineStr">
        <is>
          <t>J0191</t>
        </is>
      </c>
      <c r="F1678" t="inlineStr">
        <is>
          <t>新竹縣新豐鄉建興路二段790號對面(警消隔壁)</t>
        </is>
      </c>
      <c r="G1678" t="n">
        <v>24.900964</v>
      </c>
      <c r="H1678" t="n">
        <v>120.986902</v>
      </c>
      <c r="I1678" t="n">
        <v>8</v>
      </c>
      <c r="J1678" t="n">
        <v>2</v>
      </c>
      <c r="K1678" t="n">
        <v>204.7</v>
      </c>
      <c r="L1678" t="inlineStr">
        <is>
          <t>Primary</t>
        </is>
      </c>
    </row>
    <row r="1679">
      <c r="A1679" t="n">
        <v>3</v>
      </c>
      <c r="B1679" s="31" t="inlineStr">
        <is>
          <t>S11</t>
        </is>
      </c>
      <c r="C1679" t="inlineStr">
        <is>
          <t>PZ-C</t>
        </is>
      </c>
      <c r="D1679" t="n">
        <v>15</v>
      </c>
      <c r="E1679" t="inlineStr">
        <is>
          <t>J0197</t>
        </is>
      </c>
      <c r="F1679" t="inlineStr">
        <is>
          <t>新竹縣新豐鄉新市路141號(億客來對面)</t>
        </is>
      </c>
      <c r="G1679" t="n">
        <v>24.903344</v>
      </c>
      <c r="H1679" t="n">
        <v>120.984491</v>
      </c>
      <c r="I1679" t="n">
        <v>8</v>
      </c>
      <c r="J1679" t="n">
        <v>3</v>
      </c>
      <c r="K1679" t="n">
        <v>215.7</v>
      </c>
      <c r="L1679" t="inlineStr">
        <is>
          <t>Primary</t>
        </is>
      </c>
    </row>
    <row r="1680">
      <c r="A1680" t="n">
        <v>3</v>
      </c>
      <c r="B1680" s="31" t="inlineStr">
        <is>
          <t>S11</t>
        </is>
      </c>
      <c r="C1680" t="inlineStr">
        <is>
          <t>PZ-C</t>
        </is>
      </c>
      <c r="D1680" t="n">
        <v>16</v>
      </c>
      <c r="E1680" t="inlineStr">
        <is>
          <t>J0199</t>
        </is>
      </c>
      <c r="F1680" t="inlineStr">
        <is>
          <t>新竹縣新豐鄉新庄路353巷內工地</t>
        </is>
      </c>
      <c r="G1680" t="n">
        <v>24.904978</v>
      </c>
      <c r="H1680" t="n">
        <v>120.983941</v>
      </c>
      <c r="I1680" t="n">
        <v>8</v>
      </c>
      <c r="J1680" t="n">
        <v>3</v>
      </c>
      <c r="K1680" t="n">
        <v>226.7</v>
      </c>
      <c r="L1680" t="inlineStr">
        <is>
          <t>Primary</t>
        </is>
      </c>
    </row>
    <row r="1681">
      <c r="A1681" t="n">
        <v>3</v>
      </c>
      <c r="B1681" s="31" t="inlineStr">
        <is>
          <t>S11</t>
        </is>
      </c>
      <c r="C1681" t="inlineStr">
        <is>
          <t>PZ-C</t>
        </is>
      </c>
      <c r="D1681" t="n">
        <v>17</v>
      </c>
      <c r="E1681" t="inlineStr">
        <is>
          <t>J0187</t>
        </is>
      </c>
      <c r="F1681" t="inlineStr">
        <is>
          <t>新竹縣新豐鄉自立街9號對面</t>
        </is>
      </c>
      <c r="G1681" t="n">
        <v>24.9032</v>
      </c>
      <c r="H1681" t="n">
        <v>120.9894915</v>
      </c>
      <c r="I1681" t="n">
        <v>16</v>
      </c>
      <c r="J1681" t="n">
        <v>3</v>
      </c>
      <c r="K1681" t="n">
        <v>245.7</v>
      </c>
      <c r="L1681" t="inlineStr">
        <is>
          <t>Primary</t>
        </is>
      </c>
    </row>
    <row r="1682">
      <c r="A1682" t="n">
        <v>3</v>
      </c>
      <c r="B1682" s="31" t="inlineStr">
        <is>
          <t>S11</t>
        </is>
      </c>
      <c r="C1682" t="inlineStr">
        <is>
          <t>PZ-C</t>
        </is>
      </c>
      <c r="D1682" t="n">
        <v>18</v>
      </c>
      <c r="E1682" t="inlineStr">
        <is>
          <t>J0186</t>
        </is>
      </c>
      <c r="F1682" t="inlineStr">
        <is>
          <t>新竹縣新豐鄉池府路175巷8號之1旁工地</t>
        </is>
      </c>
      <c r="G1682" t="n">
        <v>24.908919</v>
      </c>
      <c r="H1682" t="n">
        <v>120.974259</v>
      </c>
      <c r="I1682" t="n">
        <v>8</v>
      </c>
      <c r="J1682" t="n">
        <v>4</v>
      </c>
      <c r="K1682" t="n">
        <v>257.7</v>
      </c>
      <c r="L1682" t="inlineStr">
        <is>
          <t>Primary</t>
        </is>
      </c>
    </row>
    <row r="1683">
      <c r="A1683" t="n">
        <v>3</v>
      </c>
      <c r="B1683" s="31" t="inlineStr">
        <is>
          <t>S11</t>
        </is>
      </c>
      <c r="C1683" t="inlineStr">
        <is>
          <t>PZ-C</t>
        </is>
      </c>
      <c r="D1683" t="n">
        <v>19</v>
      </c>
      <c r="E1683" t="inlineStr">
        <is>
          <t>J0194</t>
        </is>
      </c>
      <c r="F1683" t="inlineStr">
        <is>
          <t>新竹縣新豐鄉埔頂516號對面工地-埔和國小附近</t>
        </is>
      </c>
      <c r="G1683" t="n">
        <v>24.920375</v>
      </c>
      <c r="H1683" t="n">
        <v>120.985041</v>
      </c>
      <c r="I1683" t="n">
        <v>8</v>
      </c>
      <c r="J1683" t="n">
        <v>4</v>
      </c>
      <c r="K1683" t="n">
        <v>269.7</v>
      </c>
      <c r="L1683" t="inlineStr">
        <is>
          <t>Primary</t>
        </is>
      </c>
    </row>
    <row r="1684">
      <c r="A1684" t="n">
        <v>3</v>
      </c>
      <c r="B1684" s="31" t="inlineStr">
        <is>
          <t>S11</t>
        </is>
      </c>
      <c r="C1684" t="inlineStr">
        <is>
          <t>PZ-C</t>
        </is>
      </c>
      <c r="D1684" t="n">
        <v>20</v>
      </c>
      <c r="E1684" t="inlineStr">
        <is>
          <t>J0195</t>
        </is>
      </c>
      <c r="F1684" t="inlineStr">
        <is>
          <t>新竹縣新豐鄉埔頂516號對面工務所-埔和國小附近</t>
        </is>
      </c>
      <c r="G1684" t="n">
        <v>24.920375</v>
      </c>
      <c r="H1684" t="n">
        <v>120.985041</v>
      </c>
      <c r="I1684" t="n">
        <v>16</v>
      </c>
      <c r="J1684" t="n">
        <v>2</v>
      </c>
      <c r="K1684" t="n">
        <v>287.7</v>
      </c>
      <c r="L1684" t="inlineStr">
        <is>
          <t>Primary</t>
        </is>
      </c>
    </row>
    <row r="1685">
      <c r="A1685" t="n">
        <v>3</v>
      </c>
      <c r="B1685" s="31" t="inlineStr">
        <is>
          <t>S11</t>
        </is>
      </c>
      <c r="C1685" t="inlineStr">
        <is>
          <t>PZ-C</t>
        </is>
      </c>
      <c r="D1685" t="n">
        <v>21</v>
      </c>
      <c r="E1685" t="inlineStr">
        <is>
          <t>J0183</t>
        </is>
      </c>
      <c r="F1685" t="inlineStr">
        <is>
          <t>新竹縣新豐鄉396之五號-附地標(洗衣店後面)</t>
        </is>
      </c>
      <c r="G1685" t="n">
        <v>24.922584</v>
      </c>
      <c r="H1685" t="n">
        <v>120.987822</v>
      </c>
      <c r="I1685" t="n">
        <v>8</v>
      </c>
      <c r="J1685" t="n">
        <v>3</v>
      </c>
      <c r="K1685" t="n">
        <v>298.7</v>
      </c>
      <c r="L1685" t="inlineStr">
        <is>
          <t>Primary</t>
        </is>
      </c>
    </row>
    <row r="1686">
      <c r="A1686" t="n">
        <v>3</v>
      </c>
      <c r="B1686" s="31" t="inlineStr">
        <is>
          <t>S11</t>
        </is>
      </c>
      <c r="C1686" t="inlineStr">
        <is>
          <t>PZ-C</t>
        </is>
      </c>
      <c r="D1686" t="n">
        <v>22</v>
      </c>
      <c r="E1686" t="inlineStr">
        <is>
          <t>J0192</t>
        </is>
      </c>
      <c r="F1686" t="inlineStr">
        <is>
          <t>新竹縣新豐鄉埔頂110號-附座標</t>
        </is>
      </c>
      <c r="G1686" t="n">
        <v>24.920831</v>
      </c>
      <c r="H1686" t="n">
        <v>120.989433</v>
      </c>
      <c r="I1686" t="n">
        <v>8</v>
      </c>
      <c r="J1686" t="n">
        <v>3</v>
      </c>
      <c r="K1686" t="n">
        <v>309.7</v>
      </c>
      <c r="L1686" t="inlineStr">
        <is>
          <t>Primary</t>
        </is>
      </c>
    </row>
    <row r="1687">
      <c r="A1687" t="n">
        <v>3</v>
      </c>
      <c r="B1687" s="31" t="inlineStr">
        <is>
          <t>S11</t>
        </is>
      </c>
      <c r="C1687" t="inlineStr">
        <is>
          <t>PZ-C</t>
        </is>
      </c>
      <c r="D1687" t="n">
        <v>23</v>
      </c>
      <c r="E1687" t="inlineStr">
        <is>
          <t>J0193</t>
        </is>
      </c>
      <c r="F1687" t="inlineStr">
        <is>
          <t>新竹縣新豐鄉埔頂118號-晴空墅語3-附座標</t>
        </is>
      </c>
      <c r="G1687" t="n">
        <v>24.920906</v>
      </c>
      <c r="H1687" t="n">
        <v>120.991127</v>
      </c>
      <c r="I1687" t="n">
        <v>8</v>
      </c>
      <c r="J1687" t="n">
        <v>3</v>
      </c>
      <c r="K1687" t="n">
        <v>320.7</v>
      </c>
      <c r="L1687" t="inlineStr">
        <is>
          <t>Primary</t>
        </is>
      </c>
    </row>
    <row r="1688">
      <c r="A1688" t="n">
        <v>3</v>
      </c>
      <c r="B1688" s="31" t="inlineStr">
        <is>
          <t>S11</t>
        </is>
      </c>
      <c r="C1688" t="inlineStr">
        <is>
          <t>PZ-C</t>
        </is>
      </c>
      <c r="D1688" t="n">
        <v>24</v>
      </c>
      <c r="E1688" t="inlineStr">
        <is>
          <t>J0189</t>
        </is>
      </c>
      <c r="F1688" t="inlineStr">
        <is>
          <t>新竹縣新豐鄉青埔村57之1號旁附座標</t>
        </is>
      </c>
      <c r="G1688" t="n">
        <v>24.917073</v>
      </c>
      <c r="H1688" t="n">
        <v>121.00545</v>
      </c>
      <c r="I1688" t="n">
        <v>8</v>
      </c>
      <c r="J1688" t="n">
        <v>3.6</v>
      </c>
      <c r="K1688" t="n">
        <v>332.4</v>
      </c>
      <c r="L1688" t="inlineStr">
        <is>
          <t>Primary</t>
        </is>
      </c>
    </row>
    <row r="1689">
      <c r="A1689" t="n">
        <v>3</v>
      </c>
      <c r="B1689" s="31" t="inlineStr">
        <is>
          <t>S11</t>
        </is>
      </c>
      <c r="C1689" t="inlineStr">
        <is>
          <t>PZ-C</t>
        </is>
      </c>
      <c r="D1689" t="n">
        <v>25</v>
      </c>
      <c r="E1689" t="inlineStr">
        <is>
          <t>J0078</t>
        </is>
      </c>
      <c r="F1689" t="inlineStr">
        <is>
          <t>新竹縣竹北市聯興三街236巷123弄20號</t>
        </is>
      </c>
      <c r="G1689" t="n">
        <v>24.853369</v>
      </c>
      <c r="H1689" t="n">
        <v>120.987739</v>
      </c>
      <c r="I1689" t="n">
        <v>8</v>
      </c>
      <c r="J1689" t="n">
        <v>17.5</v>
      </c>
      <c r="K1689" t="n">
        <v>357.9</v>
      </c>
      <c r="L1689" t="inlineStr">
        <is>
          <t>Primary</t>
        </is>
      </c>
    </row>
    <row r="1690">
      <c r="A1690" t="n">
        <v>3</v>
      </c>
      <c r="B1690" s="31" t="inlineStr">
        <is>
          <t>S11</t>
        </is>
      </c>
      <c r="C1690" t="inlineStr">
        <is>
          <t>PZ-C</t>
        </is>
      </c>
      <c r="D1690" t="n">
        <v>26</v>
      </c>
      <c r="E1690" t="inlineStr">
        <is>
          <t>J0077</t>
        </is>
      </c>
      <c r="F1690" t="inlineStr">
        <is>
          <t>新竹縣竹北市環北路三段330巷旁</t>
        </is>
      </c>
      <c r="G1690" t="n">
        <v>24.849097</v>
      </c>
      <c r="H1690" t="n">
        <v>120.996755</v>
      </c>
      <c r="I1690" t="n">
        <v>8</v>
      </c>
      <c r="J1690" t="n">
        <v>3</v>
      </c>
      <c r="K1690" t="n">
        <v>368.9</v>
      </c>
      <c r="L1690" t="inlineStr">
        <is>
          <t>Primary</t>
        </is>
      </c>
    </row>
    <row r="1691">
      <c r="A1691" t="n">
        <v>3</v>
      </c>
      <c r="B1691" s="31" t="inlineStr">
        <is>
          <t>S11</t>
        </is>
      </c>
      <c r="C1691" t="inlineStr">
        <is>
          <t>PZ-C</t>
        </is>
      </c>
      <c r="D1691" t="n">
        <v>27</v>
      </c>
      <c r="E1691" t="inlineStr">
        <is>
          <t>J0054</t>
        </is>
      </c>
      <c r="F1691" t="inlineStr">
        <is>
          <t>新竹縣竹北市新興一街66號對面工地</t>
        </is>
      </c>
      <c r="G1691" t="n">
        <v>24.843602</v>
      </c>
      <c r="H1691" t="n">
        <v>120.992536</v>
      </c>
      <c r="I1691" t="n">
        <v>8</v>
      </c>
      <c r="J1691" t="n">
        <v>3</v>
      </c>
      <c r="K1691" t="n">
        <v>379.9</v>
      </c>
      <c r="L1691" t="inlineStr">
        <is>
          <t>Primary</t>
        </is>
      </c>
    </row>
    <row r="1692">
      <c r="A1692" t="n">
        <v>3</v>
      </c>
      <c r="B1692" s="31" t="inlineStr">
        <is>
          <t>S11</t>
        </is>
      </c>
      <c r="C1692" t="inlineStr">
        <is>
          <t>PZ-C</t>
        </is>
      </c>
      <c r="D1692" t="n">
        <v>28</v>
      </c>
      <c r="E1692" t="inlineStr">
        <is>
          <t>J0004</t>
        </is>
      </c>
      <c r="F1692" t="inlineStr">
        <is>
          <t>新竹縣竹北市中正西路375巷&amp;新生街交叉口</t>
        </is>
      </c>
      <c r="G1692" t="n">
        <v>24.842522</v>
      </c>
      <c r="H1692" t="n">
        <v>120.994555</v>
      </c>
      <c r="I1692" t="n">
        <v>8</v>
      </c>
      <c r="J1692" t="n">
        <v>3</v>
      </c>
      <c r="K1692" t="n">
        <v>390.9</v>
      </c>
      <c r="L1692" t="inlineStr">
        <is>
          <t>Primary</t>
        </is>
      </c>
    </row>
    <row r="1693">
      <c r="A1693" t="n">
        <v>3</v>
      </c>
      <c r="B1693" s="31" t="inlineStr">
        <is>
          <t>S11</t>
        </is>
      </c>
      <c r="C1693" t="inlineStr">
        <is>
          <t>PZ-C</t>
        </is>
      </c>
      <c r="D1693" t="n">
        <v>29</v>
      </c>
      <c r="E1693" t="inlineStr">
        <is>
          <t>J0053</t>
        </is>
      </c>
      <c r="F1693" t="inlineStr">
        <is>
          <t>新竹縣竹北市新國街100號對面</t>
        </is>
      </c>
      <c r="G1693" t="n">
        <v>24.840677</v>
      </c>
      <c r="H1693" t="n">
        <v>120.995833</v>
      </c>
      <c r="I1693" t="n">
        <v>8</v>
      </c>
      <c r="J1693" t="n">
        <v>3</v>
      </c>
      <c r="K1693" t="n">
        <v>401.9</v>
      </c>
      <c r="L1693" t="inlineStr">
        <is>
          <t>Primary</t>
        </is>
      </c>
    </row>
    <row r="1694">
      <c r="A1694" t="n">
        <v>3</v>
      </c>
      <c r="B1694" s="31" t="inlineStr">
        <is>
          <t>S11</t>
        </is>
      </c>
      <c r="C1694" t="inlineStr">
        <is>
          <t>PZ-C</t>
        </is>
      </c>
      <c r="D1694" t="n">
        <v>30</v>
      </c>
      <c r="E1694" t="inlineStr">
        <is>
          <t>J0050</t>
        </is>
      </c>
      <c r="F1694" t="inlineStr">
        <is>
          <t>新竹縣竹北市華興五街150號正對面</t>
        </is>
      </c>
      <c r="G1694" t="n">
        <v>24.839072</v>
      </c>
      <c r="H1694" t="n">
        <v>120.996164</v>
      </c>
      <c r="I1694" t="n">
        <v>8</v>
      </c>
      <c r="J1694" t="n">
        <v>3</v>
      </c>
      <c r="K1694" t="n">
        <v>412.9</v>
      </c>
      <c r="L1694" t="inlineStr">
        <is>
          <t>Primary</t>
        </is>
      </c>
    </row>
    <row r="1695">
      <c r="A1695" t="n">
        <v>3</v>
      </c>
      <c r="B1695" s="31" t="inlineStr">
        <is>
          <t>S11</t>
        </is>
      </c>
      <c r="C1695" t="inlineStr">
        <is>
          <t>PZ-C</t>
        </is>
      </c>
      <c r="D1695" t="n">
        <v>31</v>
      </c>
      <c r="E1695" t="inlineStr">
        <is>
          <t>J0022</t>
        </is>
      </c>
      <c r="F1695" t="inlineStr">
        <is>
          <t>新竹縣竹北市光明六路上-新崙公園-附地標</t>
        </is>
      </c>
      <c r="G1695" t="n">
        <v>24.8337129</v>
      </c>
      <c r="H1695" t="n">
        <v>120.9998893</v>
      </c>
      <c r="I1695" t="n">
        <v>32</v>
      </c>
      <c r="J1695" t="n">
        <v>3</v>
      </c>
      <c r="K1695" t="n">
        <v>447.9</v>
      </c>
      <c r="L1695" t="inlineStr">
        <is>
          <t>Primary</t>
        </is>
      </c>
    </row>
    <row r="1696">
      <c r="A1696" t="n">
        <v>3</v>
      </c>
      <c r="B1696" s="31" t="inlineStr">
        <is>
          <t>S11</t>
        </is>
      </c>
      <c r="C1696" t="inlineStr">
        <is>
          <t>PZ-C</t>
        </is>
      </c>
      <c r="D1696" t="n">
        <v>32</v>
      </c>
      <c r="E1696" t="inlineStr">
        <is>
          <t>J0022</t>
        </is>
      </c>
      <c r="F1696" t="inlineStr">
        <is>
          <t>新竹縣竹北市光明六路上-新崙公園-附地標</t>
        </is>
      </c>
      <c r="G1696" t="n">
        <v>24.833391</v>
      </c>
      <c r="H1696" t="n">
        <v>120.999969</v>
      </c>
      <c r="I1696" t="n">
        <v>32</v>
      </c>
      <c r="J1696" t="n">
        <v>2</v>
      </c>
      <c r="K1696" t="n">
        <v>481.9</v>
      </c>
      <c r="L1696" t="inlineStr">
        <is>
          <t>Primary</t>
        </is>
      </c>
    </row>
    <row r="1697">
      <c r="A1697" t="n">
        <v>3</v>
      </c>
      <c r="B1697" s="31" t="inlineStr">
        <is>
          <t>S11</t>
        </is>
      </c>
      <c r="C1697" t="inlineStr">
        <is>
          <t>PZ-C</t>
        </is>
      </c>
      <c r="D1697" t="n">
        <v>33</v>
      </c>
      <c r="E1697" t="inlineStr">
        <is>
          <t>J0021</t>
        </is>
      </c>
      <c r="F1697" t="inlineStr">
        <is>
          <t>新竹縣竹北市光明十一路86巷</t>
        </is>
      </c>
      <c r="G1697" t="n">
        <v>24.830603</v>
      </c>
      <c r="H1697" t="n">
        <v>120.998761</v>
      </c>
      <c r="I1697" t="n">
        <v>8</v>
      </c>
      <c r="J1697" t="n">
        <v>3</v>
      </c>
      <c r="K1697" t="n">
        <v>492.9</v>
      </c>
      <c r="L1697" t="inlineStr">
        <is>
          <t>Primary</t>
        </is>
      </c>
    </row>
    <row r="1698">
      <c r="A1698" t="n">
        <v>3</v>
      </c>
      <c r="B1698" s="31" t="inlineStr">
        <is>
          <t>S11</t>
        </is>
      </c>
      <c r="C1698" t="inlineStr">
        <is>
          <t>PZ-C</t>
        </is>
      </c>
      <c r="D1698" t="n">
        <v>34</v>
      </c>
      <c r="E1698" t="inlineStr">
        <is>
          <t>J0005</t>
        </is>
      </c>
      <c r="F1698" t="inlineStr">
        <is>
          <t>新竹縣竹北市中華路145號旁</t>
        </is>
      </c>
      <c r="G1698" t="n">
        <v>24.830203</v>
      </c>
      <c r="H1698" t="n">
        <v>121.001228</v>
      </c>
      <c r="I1698" t="n">
        <v>8</v>
      </c>
      <c r="J1698" t="n">
        <v>3</v>
      </c>
      <c r="K1698" t="n">
        <v>503.9</v>
      </c>
      <c r="L1698" t="inlineStr">
        <is>
          <t>Primary</t>
        </is>
      </c>
    </row>
    <row r="1699">
      <c r="A1699" t="n">
        <v>3</v>
      </c>
      <c r="B1699" s="31" t="inlineStr">
        <is>
          <t>S11</t>
        </is>
      </c>
      <c r="C1699" t="inlineStr">
        <is>
          <t>PZ-C</t>
        </is>
      </c>
      <c r="D1699" t="n">
        <v>35</v>
      </c>
      <c r="E1699" t="inlineStr">
        <is>
          <t>J0019</t>
        </is>
      </c>
      <c r="F1699" t="inlineStr">
        <is>
          <t>新竹縣竹北市光明八街122號對面</t>
        </is>
      </c>
      <c r="G1699" t="n">
        <v>24.828681</v>
      </c>
      <c r="H1699" t="n">
        <v>121.002244</v>
      </c>
      <c r="I1699" t="n">
        <v>8</v>
      </c>
      <c r="J1699" t="n">
        <v>3</v>
      </c>
      <c r="K1699" t="n">
        <v>514.9</v>
      </c>
      <c r="L1699" t="inlineStr">
        <is>
          <t>Primary</t>
        </is>
      </c>
    </row>
    <row r="1700">
      <c r="A1700" t="n">
        <v>4</v>
      </c>
      <c r="B1700" s="31" t="inlineStr">
        <is>
          <t>S11</t>
        </is>
      </c>
      <c r="C1700" t="inlineStr">
        <is>
          <t>PZ-C</t>
        </is>
      </c>
      <c r="D1700" t="n">
        <v>1</v>
      </c>
      <c r="E1700" t="inlineStr">
        <is>
          <t>J0177</t>
        </is>
      </c>
      <c r="F1700" t="inlineStr">
        <is>
          <t>新竹縣新埔鎮義民路三段500巷160號</t>
        </is>
      </c>
      <c r="G1700" t="n">
        <v>24.851628</v>
      </c>
      <c r="H1700" t="n">
        <v>121.036258</v>
      </c>
      <c r="I1700" t="n">
        <v>16</v>
      </c>
      <c r="J1700" t="n">
        <v>20.2</v>
      </c>
      <c r="K1700" t="n">
        <v>36.2</v>
      </c>
      <c r="L1700" t="inlineStr">
        <is>
          <t>Primary</t>
        </is>
      </c>
    </row>
    <row r="1701">
      <c r="A1701" t="n">
        <v>4</v>
      </c>
      <c r="B1701" s="31" t="inlineStr">
        <is>
          <t>S11</t>
        </is>
      </c>
      <c r="C1701" t="inlineStr">
        <is>
          <t>PZ-C</t>
        </is>
      </c>
      <c r="D1701" t="n">
        <v>2</v>
      </c>
      <c r="E1701" t="inlineStr">
        <is>
          <t>J0076</t>
        </is>
      </c>
      <c r="F1701" t="inlineStr">
        <is>
          <t>新竹縣竹北市環北路一段381號</t>
        </is>
      </c>
      <c r="G1701" t="n">
        <v>24.8446315</v>
      </c>
      <c r="H1701" t="n">
        <v>121.020577</v>
      </c>
      <c r="I1701" t="n">
        <v>16</v>
      </c>
      <c r="J1701" t="n">
        <v>4.2</v>
      </c>
      <c r="K1701" t="n">
        <v>56.4</v>
      </c>
      <c r="L1701" t="inlineStr">
        <is>
          <t>Primary</t>
        </is>
      </c>
    </row>
    <row r="1702">
      <c r="A1702" t="n">
        <v>4</v>
      </c>
      <c r="B1702" s="31" t="inlineStr">
        <is>
          <t>S11</t>
        </is>
      </c>
      <c r="C1702" t="inlineStr">
        <is>
          <t>PZ-C</t>
        </is>
      </c>
      <c r="D1702" t="n">
        <v>3</v>
      </c>
      <c r="E1702" t="inlineStr">
        <is>
          <t>J0075</t>
        </is>
      </c>
      <c r="F1702" t="inlineStr">
        <is>
          <t>新竹縣竹北市環北路一段269巷10號旁</t>
        </is>
      </c>
      <c r="G1702" t="n">
        <v>24.841677</v>
      </c>
      <c r="H1702" t="n">
        <v>121.019675</v>
      </c>
      <c r="I1702" t="n">
        <v>32</v>
      </c>
      <c r="J1702" t="n">
        <v>3</v>
      </c>
      <c r="K1702" t="n">
        <v>91.40000000000001</v>
      </c>
      <c r="L1702" t="inlineStr">
        <is>
          <t>Primary</t>
        </is>
      </c>
    </row>
    <row r="1703">
      <c r="A1703" t="n">
        <v>4</v>
      </c>
      <c r="B1703" s="31" t="inlineStr">
        <is>
          <t>S11</t>
        </is>
      </c>
      <c r="C1703" t="inlineStr">
        <is>
          <t>PZ-C</t>
        </is>
      </c>
      <c r="D1703" t="n">
        <v>4</v>
      </c>
      <c r="E1703" t="inlineStr">
        <is>
          <t>J0075</t>
        </is>
      </c>
      <c r="F1703" t="inlineStr">
        <is>
          <t>新竹縣竹北市環北路一段269巷10號旁</t>
        </is>
      </c>
      <c r="G1703" t="n">
        <v>24.8413538</v>
      </c>
      <c r="H1703" t="n">
        <v>121.020446</v>
      </c>
      <c r="I1703" t="n">
        <v>32</v>
      </c>
      <c r="J1703" t="n">
        <v>2</v>
      </c>
      <c r="K1703" t="n">
        <v>125.4</v>
      </c>
      <c r="L1703" t="inlineStr">
        <is>
          <t>Primary</t>
        </is>
      </c>
    </row>
    <row r="1704">
      <c r="A1704" t="n">
        <v>4</v>
      </c>
      <c r="B1704" s="31" t="inlineStr">
        <is>
          <t>S11</t>
        </is>
      </c>
      <c r="C1704" t="inlineStr">
        <is>
          <t>PZ-C</t>
        </is>
      </c>
      <c r="D1704" t="n">
        <v>5</v>
      </c>
      <c r="E1704" t="inlineStr">
        <is>
          <t>J0003</t>
        </is>
      </c>
      <c r="F1704" t="inlineStr">
        <is>
          <t>新竹縣竹北市中山路416號</t>
        </is>
      </c>
      <c r="G1704" t="n">
        <v>24.8427676</v>
      </c>
      <c r="H1704" t="n">
        <v>121.0152226</v>
      </c>
      <c r="I1704" t="n">
        <v>40</v>
      </c>
      <c r="J1704" t="n">
        <v>3</v>
      </c>
      <c r="K1704" t="n">
        <v>168.4</v>
      </c>
      <c r="L1704" t="inlineStr">
        <is>
          <t>Primary</t>
        </is>
      </c>
    </row>
    <row r="1705">
      <c r="A1705" t="n">
        <v>4</v>
      </c>
      <c r="B1705" s="31" t="inlineStr">
        <is>
          <t>S11</t>
        </is>
      </c>
      <c r="C1705" t="inlineStr">
        <is>
          <t>PZ-C</t>
        </is>
      </c>
      <c r="D1705" t="n">
        <v>6</v>
      </c>
      <c r="E1705" t="inlineStr">
        <is>
          <t>J0032</t>
        </is>
      </c>
      <c r="F1705" t="inlineStr">
        <is>
          <t>新竹縣竹北市沿河街24號旁巷子</t>
        </is>
      </c>
      <c r="G1705" t="n">
        <v>24.845644</v>
      </c>
      <c r="H1705" t="n">
        <v>121.014944</v>
      </c>
      <c r="I1705" t="n">
        <v>8</v>
      </c>
      <c r="J1705" t="n">
        <v>3</v>
      </c>
      <c r="K1705" t="n">
        <v>179.4</v>
      </c>
      <c r="L1705" t="inlineStr">
        <is>
          <t>Primary</t>
        </is>
      </c>
    </row>
    <row r="1706">
      <c r="A1706" t="n">
        <v>4</v>
      </c>
      <c r="B1706" s="31" t="inlineStr">
        <is>
          <t>S11</t>
        </is>
      </c>
      <c r="C1706" t="inlineStr">
        <is>
          <t>PZ-C</t>
        </is>
      </c>
      <c r="D1706" t="n">
        <v>7</v>
      </c>
      <c r="E1706" t="inlineStr">
        <is>
          <t>J0036</t>
        </is>
      </c>
      <c r="F1706" t="inlineStr">
        <is>
          <t>新竹縣竹北市泰和路184號對面</t>
        </is>
      </c>
      <c r="G1706" t="n">
        <v>24.849891</v>
      </c>
      <c r="H1706" t="n">
        <v>121.012492</v>
      </c>
      <c r="I1706" t="n">
        <v>8</v>
      </c>
      <c r="J1706" t="n">
        <v>3</v>
      </c>
      <c r="K1706" t="n">
        <v>190.4</v>
      </c>
      <c r="L1706" t="inlineStr">
        <is>
          <t>Primary</t>
        </is>
      </c>
    </row>
    <row r="1707">
      <c r="A1707" t="n">
        <v>4</v>
      </c>
      <c r="B1707" s="31" t="inlineStr">
        <is>
          <t>S11</t>
        </is>
      </c>
      <c r="C1707" t="inlineStr">
        <is>
          <t>PZ-C</t>
        </is>
      </c>
      <c r="D1707" t="n">
        <v>8</v>
      </c>
      <c r="E1707" t="inlineStr">
        <is>
          <t>J0051</t>
        </is>
      </c>
      <c r="F1707" t="inlineStr">
        <is>
          <t>新竹縣竹北市新泰路102號旁工地</t>
        </is>
      </c>
      <c r="G1707" t="n">
        <v>24.839736</v>
      </c>
      <c r="H1707" t="n">
        <v>121.008133</v>
      </c>
      <c r="I1707" t="n">
        <v>8</v>
      </c>
      <c r="J1707" t="n">
        <v>3</v>
      </c>
      <c r="K1707" t="n">
        <v>201.4</v>
      </c>
      <c r="L1707" t="inlineStr">
        <is>
          <t>Primary</t>
        </is>
      </c>
    </row>
    <row r="1708">
      <c r="A1708" t="n">
        <v>4</v>
      </c>
      <c r="B1708" s="31" t="inlineStr">
        <is>
          <t>S11</t>
        </is>
      </c>
      <c r="C1708" t="inlineStr">
        <is>
          <t>PZ-C</t>
        </is>
      </c>
      <c r="D1708" t="n">
        <v>9</v>
      </c>
      <c r="E1708" t="inlineStr">
        <is>
          <t>J0052</t>
        </is>
      </c>
      <c r="F1708" t="inlineStr">
        <is>
          <t>新竹縣竹北市新泰路71巷7號對面</t>
        </is>
      </c>
      <c r="G1708" t="n">
        <v>24.838341</v>
      </c>
      <c r="H1708" t="n">
        <v>121.007953</v>
      </c>
      <c r="I1708" t="n">
        <v>16</v>
      </c>
      <c r="J1708" t="n">
        <v>3</v>
      </c>
      <c r="K1708" t="n">
        <v>220.4</v>
      </c>
      <c r="L1708" t="inlineStr">
        <is>
          <t>Primary</t>
        </is>
      </c>
    </row>
    <row r="1709">
      <c r="A1709" t="n">
        <v>4</v>
      </c>
      <c r="B1709" s="31" t="inlineStr">
        <is>
          <t>S11</t>
        </is>
      </c>
      <c r="C1709" t="inlineStr">
        <is>
          <t>PZ-C</t>
        </is>
      </c>
      <c r="D1709" t="n">
        <v>10</v>
      </c>
      <c r="E1709" t="inlineStr">
        <is>
          <t>J0007</t>
        </is>
      </c>
      <c r="F1709" t="inlineStr">
        <is>
          <t>新竹縣竹北市中華路360號</t>
        </is>
      </c>
      <c r="G1709" t="n">
        <v>24.837702</v>
      </c>
      <c r="H1709" t="n">
        <v>121.005203</v>
      </c>
      <c r="I1709" t="n">
        <v>8</v>
      </c>
      <c r="J1709" t="n">
        <v>3</v>
      </c>
      <c r="K1709" t="n">
        <v>231.4</v>
      </c>
      <c r="L1709" t="inlineStr">
        <is>
          <t>Primary</t>
        </is>
      </c>
    </row>
    <row r="1710">
      <c r="A1710" t="n">
        <v>4</v>
      </c>
      <c r="B1710" s="31" t="inlineStr">
        <is>
          <t>S11</t>
        </is>
      </c>
      <c r="C1710" t="inlineStr">
        <is>
          <t>PZ-C</t>
        </is>
      </c>
      <c r="D1710" t="n">
        <v>11</v>
      </c>
      <c r="E1710" t="inlineStr">
        <is>
          <t>J0072</t>
        </is>
      </c>
      <c r="F1710" t="inlineStr">
        <is>
          <t>新竹縣竹北市縣政16街169號旁</t>
        </is>
      </c>
      <c r="G1710" t="n">
        <v>24.831884</v>
      </c>
      <c r="H1710" t="n">
        <v>121.004583</v>
      </c>
      <c r="I1710" t="n">
        <v>8</v>
      </c>
      <c r="J1710" t="n">
        <v>3</v>
      </c>
      <c r="K1710" t="n">
        <v>242.4</v>
      </c>
      <c r="L1710" t="inlineStr">
        <is>
          <t>Primary</t>
        </is>
      </c>
    </row>
    <row r="1711">
      <c r="A1711" t="n">
        <v>4</v>
      </c>
      <c r="B1711" s="31" t="inlineStr">
        <is>
          <t>S11</t>
        </is>
      </c>
      <c r="C1711" t="inlineStr">
        <is>
          <t>PZ-C</t>
        </is>
      </c>
      <c r="D1711" t="n">
        <v>12</v>
      </c>
      <c r="E1711" t="inlineStr">
        <is>
          <t>J0020</t>
        </is>
      </c>
      <c r="F1711" t="inlineStr">
        <is>
          <t>新竹縣竹北市光明八街28號&amp;縣政十三路工地</t>
        </is>
      </c>
      <c r="G1711" t="n">
        <v>24.828725</v>
      </c>
      <c r="H1711" t="n">
        <v>121.005608</v>
      </c>
      <c r="I1711" t="n">
        <v>8</v>
      </c>
      <c r="J1711" t="n">
        <v>3</v>
      </c>
      <c r="K1711" t="n">
        <v>253.4</v>
      </c>
      <c r="L1711" t="inlineStr">
        <is>
          <t>Primary</t>
        </is>
      </c>
    </row>
    <row r="1712">
      <c r="A1712" t="n">
        <v>4</v>
      </c>
      <c r="B1712" s="31" t="inlineStr">
        <is>
          <t>S11</t>
        </is>
      </c>
      <c r="C1712" t="inlineStr">
        <is>
          <t>PZ-C</t>
        </is>
      </c>
      <c r="D1712" t="n">
        <v>13</v>
      </c>
      <c r="E1712" t="inlineStr">
        <is>
          <t>J0073</t>
        </is>
      </c>
      <c r="F1712" t="inlineStr">
        <is>
          <t>新竹縣竹北市縣政十一街37號(隔壁鐵皮屋）</t>
        </is>
      </c>
      <c r="G1712" t="n">
        <v>24.8274</v>
      </c>
      <c r="H1712" t="n">
        <v>121.007586</v>
      </c>
      <c r="I1712" t="n">
        <v>8</v>
      </c>
      <c r="J1712" t="n">
        <v>3</v>
      </c>
      <c r="K1712" t="n">
        <v>264.4</v>
      </c>
      <c r="L1712" t="inlineStr">
        <is>
          <t>Primary</t>
        </is>
      </c>
    </row>
    <row r="1713">
      <c r="A1713" t="n">
        <v>4</v>
      </c>
      <c r="B1713" s="31" t="inlineStr">
        <is>
          <t>S11</t>
        </is>
      </c>
      <c r="C1713" t="inlineStr">
        <is>
          <t>PZ-C</t>
        </is>
      </c>
      <c r="D1713" t="n">
        <v>14</v>
      </c>
      <c r="E1713" t="inlineStr">
        <is>
          <t>J0074</t>
        </is>
      </c>
      <c r="F1713" t="inlineStr">
        <is>
          <t>新竹縣竹北市縣政十二街46巷5號旁工地</t>
        </is>
      </c>
      <c r="G1713" t="n">
        <v>24.829875</v>
      </c>
      <c r="H1713" t="n">
        <v>121.007972</v>
      </c>
      <c r="I1713" t="n">
        <v>8</v>
      </c>
      <c r="J1713" t="n">
        <v>3</v>
      </c>
      <c r="K1713" t="n">
        <v>275.4</v>
      </c>
      <c r="L1713" t="inlineStr">
        <is>
          <t>Primary</t>
        </is>
      </c>
    </row>
    <row r="1714">
      <c r="A1714" t="n">
        <v>4</v>
      </c>
      <c r="B1714" s="31" t="inlineStr">
        <is>
          <t>S11</t>
        </is>
      </c>
      <c r="C1714" t="inlineStr">
        <is>
          <t>PZ-C</t>
        </is>
      </c>
      <c r="D1714" t="n">
        <v>15</v>
      </c>
      <c r="E1714" t="inlineStr">
        <is>
          <t>J0034</t>
        </is>
      </c>
      <c r="F1714" t="inlineStr">
        <is>
          <t>新竹縣竹北市建國街150號旁</t>
        </is>
      </c>
      <c r="G1714" t="n">
        <v>24.833281</v>
      </c>
      <c r="H1714" t="n">
        <v>121.009975</v>
      </c>
      <c r="I1714" t="n">
        <v>8</v>
      </c>
      <c r="J1714" t="n">
        <v>3</v>
      </c>
      <c r="K1714" t="n">
        <v>286.4</v>
      </c>
      <c r="L1714" t="inlineStr">
        <is>
          <t>Primary</t>
        </is>
      </c>
    </row>
    <row r="1715">
      <c r="A1715" t="n">
        <v>4</v>
      </c>
      <c r="B1715" s="31" t="inlineStr">
        <is>
          <t>S11</t>
        </is>
      </c>
      <c r="C1715" t="inlineStr">
        <is>
          <t>PZ-C</t>
        </is>
      </c>
      <c r="D1715" t="n">
        <v>16</v>
      </c>
      <c r="E1715" t="inlineStr">
        <is>
          <t>J0035</t>
        </is>
      </c>
      <c r="F1715" t="inlineStr">
        <is>
          <t>新竹縣竹北市建國街58號</t>
        </is>
      </c>
      <c r="G1715" t="n">
        <v>24.832536</v>
      </c>
      <c r="H1715" t="n">
        <v>121.012111</v>
      </c>
      <c r="I1715" t="n">
        <v>8</v>
      </c>
      <c r="J1715" t="n">
        <v>3</v>
      </c>
      <c r="K1715" t="n">
        <v>297.4</v>
      </c>
      <c r="L1715" t="inlineStr">
        <is>
          <t>Primary</t>
        </is>
      </c>
    </row>
    <row r="1716">
      <c r="A1716" t="n">
        <v>4</v>
      </c>
      <c r="B1716" s="31" t="inlineStr">
        <is>
          <t>S11</t>
        </is>
      </c>
      <c r="C1716" t="inlineStr">
        <is>
          <t>PZ-C</t>
        </is>
      </c>
      <c r="D1716" t="n">
        <v>17</v>
      </c>
      <c r="E1716" t="inlineStr">
        <is>
          <t>J0014</t>
        </is>
      </c>
      <c r="F1716" t="inlineStr">
        <is>
          <t>新竹縣竹北市文化街-竹仁公園-附地標</t>
        </is>
      </c>
      <c r="G1716" t="n">
        <v>24.8358708</v>
      </c>
      <c r="H1716" t="n">
        <v>121.0158418</v>
      </c>
      <c r="I1716" t="n">
        <v>32</v>
      </c>
      <c r="J1716" t="n">
        <v>3</v>
      </c>
      <c r="K1716" t="n">
        <v>332.4</v>
      </c>
      <c r="L1716" t="inlineStr">
        <is>
          <t>Primary</t>
        </is>
      </c>
    </row>
    <row r="1717">
      <c r="A1717" t="n">
        <v>4</v>
      </c>
      <c r="B1717" s="31" t="inlineStr">
        <is>
          <t>S11</t>
        </is>
      </c>
      <c r="C1717" t="inlineStr">
        <is>
          <t>PZ-C</t>
        </is>
      </c>
      <c r="D1717" t="n">
        <v>18</v>
      </c>
      <c r="E1717" t="inlineStr">
        <is>
          <t>J0014</t>
        </is>
      </c>
      <c r="F1717" t="inlineStr">
        <is>
          <t>新竹縣竹北市文化街-竹仁公園-附地標</t>
        </is>
      </c>
      <c r="G1717" t="n">
        <v>24.835983</v>
      </c>
      <c r="H1717" t="n">
        <v>121.016064</v>
      </c>
      <c r="I1717" t="n">
        <v>32</v>
      </c>
      <c r="J1717" t="n">
        <v>2</v>
      </c>
      <c r="K1717" t="n">
        <v>366.4</v>
      </c>
      <c r="L1717" t="inlineStr">
        <is>
          <t>Primary</t>
        </is>
      </c>
    </row>
    <row r="1718">
      <c r="A1718" t="n">
        <v>4</v>
      </c>
      <c r="B1718" s="31" t="inlineStr">
        <is>
          <t>S11</t>
        </is>
      </c>
      <c r="C1718" t="inlineStr">
        <is>
          <t>PZ-C</t>
        </is>
      </c>
      <c r="D1718" t="n">
        <v>19</v>
      </c>
      <c r="E1718" t="inlineStr">
        <is>
          <t>J0012</t>
        </is>
      </c>
      <c r="F1718" t="inlineStr">
        <is>
          <t>新竹縣竹北市文化街176號旁</t>
        </is>
      </c>
      <c r="G1718" t="n">
        <v>24.837444</v>
      </c>
      <c r="H1718" t="n">
        <v>121.013961</v>
      </c>
      <c r="I1718" t="n">
        <v>8</v>
      </c>
      <c r="J1718" t="n">
        <v>3</v>
      </c>
      <c r="K1718" t="n">
        <v>377.4</v>
      </c>
      <c r="L1718" t="inlineStr">
        <is>
          <t>Primary</t>
        </is>
      </c>
    </row>
    <row r="1719">
      <c r="A1719" t="n">
        <v>4</v>
      </c>
      <c r="B1719" s="31" t="inlineStr">
        <is>
          <t>S11</t>
        </is>
      </c>
      <c r="C1719" t="inlineStr">
        <is>
          <t>PZ-C</t>
        </is>
      </c>
      <c r="D1719" t="n">
        <v>20</v>
      </c>
      <c r="E1719" t="inlineStr">
        <is>
          <t>J0013</t>
        </is>
      </c>
      <c r="F1719" t="inlineStr">
        <is>
          <t>新竹縣竹北市文化街211號</t>
        </is>
      </c>
      <c r="G1719" t="n">
        <v>24.837591</v>
      </c>
      <c r="H1719" t="n">
        <v>121.013028</v>
      </c>
      <c r="I1719" t="n">
        <v>8</v>
      </c>
      <c r="J1719" t="n">
        <v>2</v>
      </c>
      <c r="K1719" t="n">
        <v>387.4</v>
      </c>
      <c r="L1719" t="inlineStr">
        <is>
          <t>Primary</t>
        </is>
      </c>
    </row>
    <row r="1720">
      <c r="A1720" t="n">
        <v>4</v>
      </c>
      <c r="B1720" s="31" t="inlineStr">
        <is>
          <t>S11</t>
        </is>
      </c>
      <c r="C1720" t="inlineStr">
        <is>
          <t>PZ-C</t>
        </is>
      </c>
      <c r="D1720" t="n">
        <v>21</v>
      </c>
      <c r="E1720" t="inlineStr">
        <is>
          <t>J0001</t>
        </is>
      </c>
      <c r="F1720" t="inlineStr">
        <is>
          <t>新竹縣竹北市十興路291號</t>
        </is>
      </c>
      <c r="G1720" t="n">
        <v>24.830223</v>
      </c>
      <c r="H1720" t="n">
        <v>121.023459</v>
      </c>
      <c r="I1720" t="n">
        <v>16</v>
      </c>
      <c r="J1720" t="n">
        <v>3.2</v>
      </c>
      <c r="K1720" t="n">
        <v>406.6</v>
      </c>
      <c r="L1720" t="inlineStr">
        <is>
          <t>Primary</t>
        </is>
      </c>
    </row>
    <row r="1721">
      <c r="A1721" t="n">
        <v>4</v>
      </c>
      <c r="B1721" s="31" t="inlineStr">
        <is>
          <t>S11</t>
        </is>
      </c>
      <c r="C1721" t="inlineStr">
        <is>
          <t>PZ-C</t>
        </is>
      </c>
      <c r="D1721" t="n">
        <v>22</v>
      </c>
      <c r="E1721" t="inlineStr">
        <is>
          <t>J0045</t>
        </is>
      </c>
      <c r="F1721" t="inlineStr">
        <is>
          <t>新竹縣竹北市勝利十三街21號</t>
        </is>
      </c>
      <c r="G1721" t="n">
        <v>24.82842</v>
      </c>
      <c r="H1721" t="n">
        <v>121.028364</v>
      </c>
      <c r="I1721" t="n">
        <v>16</v>
      </c>
      <c r="J1721" t="n">
        <v>3</v>
      </c>
      <c r="K1721" t="n">
        <v>425.6</v>
      </c>
      <c r="L1721" t="inlineStr">
        <is>
          <t>Primary</t>
        </is>
      </c>
    </row>
    <row r="1722">
      <c r="A1722" t="n">
        <v>4</v>
      </c>
      <c r="B1722" s="31" t="inlineStr">
        <is>
          <t>S11</t>
        </is>
      </c>
      <c r="C1722" t="inlineStr">
        <is>
          <t>PZ-C</t>
        </is>
      </c>
      <c r="D1722" t="n">
        <v>23</v>
      </c>
      <c r="E1722" t="inlineStr">
        <is>
          <t>J0026</t>
        </is>
      </c>
      <c r="F1722" t="inlineStr">
        <is>
          <t>新竹縣竹北市成功五街85號旁</t>
        </is>
      </c>
      <c r="G1722" t="n">
        <v>24.81862</v>
      </c>
      <c r="H1722" t="n">
        <v>121.023798</v>
      </c>
      <c r="I1722" t="n">
        <v>8</v>
      </c>
      <c r="J1722" t="n">
        <v>3</v>
      </c>
      <c r="K1722" t="n">
        <v>436.6</v>
      </c>
      <c r="L1722" t="inlineStr">
        <is>
          <t>Primary</t>
        </is>
      </c>
    </row>
    <row r="1723">
      <c r="A1723" t="n">
        <v>4</v>
      </c>
      <c r="B1723" s="31" t="inlineStr">
        <is>
          <t>S11</t>
        </is>
      </c>
      <c r="C1723" t="inlineStr">
        <is>
          <t>PZ-C</t>
        </is>
      </c>
      <c r="D1723" t="n">
        <v>24</v>
      </c>
      <c r="E1723" t="inlineStr">
        <is>
          <t>J0023</t>
        </is>
      </c>
      <c r="F1723" t="inlineStr">
        <is>
          <t>新竹縣竹北市成功七街162號</t>
        </is>
      </c>
      <c r="G1723" t="n">
        <v>24.817042</v>
      </c>
      <c r="H1723" t="n">
        <v>121.021973</v>
      </c>
      <c r="I1723" t="n">
        <v>8</v>
      </c>
      <c r="J1723" t="n">
        <v>3</v>
      </c>
      <c r="K1723" t="n">
        <v>447.6</v>
      </c>
      <c r="L1723" t="inlineStr">
        <is>
          <t>Primary</t>
        </is>
      </c>
    </row>
    <row r="1724">
      <c r="A1724" t="n">
        <v>4</v>
      </c>
      <c r="B1724" s="31" t="inlineStr">
        <is>
          <t>S11</t>
        </is>
      </c>
      <c r="C1724" t="inlineStr">
        <is>
          <t>PZ-C</t>
        </is>
      </c>
      <c r="D1724" t="n">
        <v>25</v>
      </c>
      <c r="E1724" t="inlineStr">
        <is>
          <t>J0024</t>
        </is>
      </c>
      <c r="F1724" t="inlineStr">
        <is>
          <t>新竹縣竹北市成功七街272號旁(聯森公園)-1F</t>
        </is>
      </c>
      <c r="G1724" t="n">
        <v>24.816211</v>
      </c>
      <c r="H1724" t="n">
        <v>121.023484</v>
      </c>
      <c r="I1724" t="n">
        <v>8</v>
      </c>
      <c r="J1724" t="n">
        <v>3</v>
      </c>
      <c r="K1724" t="n">
        <v>458.6</v>
      </c>
      <c r="L1724" t="inlineStr">
        <is>
          <t>Primary</t>
        </is>
      </c>
    </row>
    <row r="1725">
      <c r="A1725" t="n">
        <v>4</v>
      </c>
      <c r="B1725" s="31" t="inlineStr">
        <is>
          <t>S11</t>
        </is>
      </c>
      <c r="C1725" t="inlineStr">
        <is>
          <t>PZ-C</t>
        </is>
      </c>
      <c r="D1725" t="n">
        <v>26</v>
      </c>
      <c r="E1725" t="inlineStr">
        <is>
          <t>J0065</t>
        </is>
      </c>
      <c r="F1725" t="inlineStr">
        <is>
          <t>新竹縣竹北市嘉興路120號</t>
        </is>
      </c>
      <c r="G1725" t="n">
        <v>24.816083</v>
      </c>
      <c r="H1725" t="n">
        <v>121.025959</v>
      </c>
      <c r="I1725" t="n">
        <v>8</v>
      </c>
      <c r="J1725" t="n">
        <v>3</v>
      </c>
      <c r="K1725" t="n">
        <v>469.6</v>
      </c>
      <c r="L1725" t="inlineStr">
        <is>
          <t>Primary</t>
        </is>
      </c>
    </row>
    <row r="1726">
      <c r="A1726" t="n">
        <v>4</v>
      </c>
      <c r="B1726" s="31" t="inlineStr">
        <is>
          <t>S11</t>
        </is>
      </c>
      <c r="C1726" t="inlineStr">
        <is>
          <t>PZ-C</t>
        </is>
      </c>
      <c r="D1726" t="n">
        <v>27</v>
      </c>
      <c r="E1726" t="inlineStr">
        <is>
          <t>J0068</t>
        </is>
      </c>
      <c r="F1726" t="inlineStr">
        <is>
          <t>新竹縣竹北市嘉豐三街302號-繩索公園</t>
        </is>
      </c>
      <c r="G1726" t="n">
        <v>24.815222</v>
      </c>
      <c r="H1726" t="n">
        <v>121.0303718</v>
      </c>
      <c r="I1726" t="n">
        <v>16</v>
      </c>
      <c r="J1726" t="n">
        <v>3</v>
      </c>
      <c r="K1726" t="n">
        <v>488.6</v>
      </c>
      <c r="L1726" t="inlineStr">
        <is>
          <t>Primary</t>
        </is>
      </c>
    </row>
    <row r="1727">
      <c r="A1727" t="n">
        <v>4</v>
      </c>
      <c r="B1727" s="31" t="inlineStr">
        <is>
          <t>S11</t>
        </is>
      </c>
      <c r="C1727" t="inlineStr">
        <is>
          <t>PZ-C</t>
        </is>
      </c>
      <c r="D1727" t="n">
        <v>28</v>
      </c>
      <c r="E1727" t="inlineStr">
        <is>
          <t>J0049</t>
        </is>
      </c>
      <c r="F1727" t="inlineStr">
        <is>
          <t>新竹縣竹北市復興六路59號</t>
        </is>
      </c>
      <c r="G1727" t="n">
        <v>24.811656</v>
      </c>
      <c r="H1727" t="n">
        <v>121.029636</v>
      </c>
      <c r="I1727" t="n">
        <v>8</v>
      </c>
      <c r="J1727" t="n">
        <v>3</v>
      </c>
      <c r="K1727" t="n">
        <v>499.6</v>
      </c>
      <c r="L1727" t="inlineStr">
        <is>
          <t>Primary</t>
        </is>
      </c>
    </row>
    <row r="1728">
      <c r="A1728" t="n">
        <v>4</v>
      </c>
      <c r="B1728" s="31" t="inlineStr">
        <is>
          <t>S11</t>
        </is>
      </c>
      <c r="C1728" t="inlineStr">
        <is>
          <t>PZ-C</t>
        </is>
      </c>
      <c r="D1728" t="n">
        <v>29</v>
      </c>
      <c r="E1728" t="inlineStr">
        <is>
          <t>J0008</t>
        </is>
      </c>
      <c r="F1728" t="inlineStr">
        <is>
          <t>新竹縣竹北市六家一路一段60號旁</t>
        </is>
      </c>
      <c r="G1728" t="n">
        <v>24.811008</v>
      </c>
      <c r="H1728" t="n">
        <v>121.02567</v>
      </c>
      <c r="I1728" t="n">
        <v>8</v>
      </c>
      <c r="J1728" t="n">
        <v>3</v>
      </c>
      <c r="K1728" t="n">
        <v>510.6</v>
      </c>
      <c r="L1728" t="inlineStr">
        <is>
          <t>Primary</t>
        </is>
      </c>
    </row>
    <row r="1729">
      <c r="A1729" t="n">
        <v>5</v>
      </c>
      <c r="B1729" s="31" t="inlineStr">
        <is>
          <t>S11</t>
        </is>
      </c>
      <c r="C1729" t="inlineStr">
        <is>
          <t>PZ-C</t>
        </is>
      </c>
      <c r="D1729" t="n">
        <v>1</v>
      </c>
      <c r="E1729" t="inlineStr">
        <is>
          <t>J0061</t>
        </is>
      </c>
      <c r="F1729" t="inlineStr">
        <is>
          <t>新竹縣竹北市隘口六街57號旁</t>
        </is>
      </c>
      <c r="G1729" t="n">
        <v>24.803436</v>
      </c>
      <c r="H1729" t="n">
        <v>121.033847</v>
      </c>
      <c r="I1729" t="n">
        <v>8</v>
      </c>
      <c r="J1729" t="n">
        <v>22.6</v>
      </c>
      <c r="K1729" t="n">
        <v>30.6</v>
      </c>
      <c r="L1729" t="inlineStr">
        <is>
          <t>Primary</t>
        </is>
      </c>
    </row>
    <row r="1730">
      <c r="A1730" t="n">
        <v>5</v>
      </c>
      <c r="B1730" s="31" t="inlineStr">
        <is>
          <t>S11</t>
        </is>
      </c>
      <c r="C1730" t="inlineStr">
        <is>
          <t>PZ-C</t>
        </is>
      </c>
      <c r="D1730" t="n">
        <v>2</v>
      </c>
      <c r="E1730" t="inlineStr">
        <is>
          <t>J0010</t>
        </is>
      </c>
      <c r="F1730" t="inlineStr">
        <is>
          <t>新竹縣竹北市六家五路一段241號</t>
        </is>
      </c>
      <c r="G1730" t="n">
        <v>24.807847</v>
      </c>
      <c r="H1730" t="n">
        <v>121.028575</v>
      </c>
      <c r="I1730" t="n">
        <v>8</v>
      </c>
      <c r="J1730" t="n">
        <v>3</v>
      </c>
      <c r="K1730" t="n">
        <v>41.6</v>
      </c>
      <c r="L1730" t="inlineStr">
        <is>
          <t>Primary</t>
        </is>
      </c>
    </row>
    <row r="1731">
      <c r="A1731" t="n">
        <v>5</v>
      </c>
      <c r="B1731" s="31" t="inlineStr">
        <is>
          <t>S11</t>
        </is>
      </c>
      <c r="C1731" t="inlineStr">
        <is>
          <t>PZ-C</t>
        </is>
      </c>
      <c r="D1731" t="n">
        <v>3</v>
      </c>
      <c r="E1731" t="inlineStr">
        <is>
          <t>J0028</t>
        </is>
      </c>
      <c r="F1731" t="inlineStr">
        <is>
          <t>新竹縣竹北市自強五路與成功12街交叉口</t>
        </is>
      </c>
      <c r="G1731" t="n">
        <v>24.81305</v>
      </c>
      <c r="H1731" t="n">
        <v>121.020606</v>
      </c>
      <c r="I1731" t="n">
        <v>16</v>
      </c>
      <c r="J1731" t="n">
        <v>3</v>
      </c>
      <c r="K1731" t="n">
        <v>60.6</v>
      </c>
      <c r="L1731" t="inlineStr">
        <is>
          <t>Primary</t>
        </is>
      </c>
    </row>
    <row r="1732">
      <c r="A1732" t="n">
        <v>5</v>
      </c>
      <c r="B1732" s="31" t="inlineStr">
        <is>
          <t>S11</t>
        </is>
      </c>
      <c r="C1732" t="inlineStr">
        <is>
          <t>PZ-C</t>
        </is>
      </c>
      <c r="D1732" t="n">
        <v>4</v>
      </c>
      <c r="E1732" t="inlineStr">
        <is>
          <t>J0027</t>
        </is>
      </c>
      <c r="F1732" t="inlineStr">
        <is>
          <t>新竹縣竹北市成功六街83號旁工地</t>
        </is>
      </c>
      <c r="G1732" t="n">
        <v>24.818342</v>
      </c>
      <c r="H1732" t="n">
        <v>121.020445</v>
      </c>
      <c r="I1732" t="n">
        <v>8</v>
      </c>
      <c r="J1732" t="n">
        <v>3</v>
      </c>
      <c r="K1732" t="n">
        <v>71.59999999999999</v>
      </c>
      <c r="L1732" t="inlineStr">
        <is>
          <t>Primary</t>
        </is>
      </c>
    </row>
    <row r="1733">
      <c r="A1733" t="n">
        <v>5</v>
      </c>
      <c r="B1733" s="31" t="inlineStr">
        <is>
          <t>S11</t>
        </is>
      </c>
      <c r="C1733" t="inlineStr">
        <is>
          <t>PZ-C</t>
        </is>
      </c>
      <c r="D1733" t="n">
        <v>5</v>
      </c>
      <c r="E1733" t="inlineStr">
        <is>
          <t>J0018</t>
        </is>
      </c>
      <c r="F1733" t="inlineStr">
        <is>
          <t>新竹縣竹北市光明九路3號旁工地</t>
        </is>
      </c>
      <c r="G1733" t="n">
        <v>24.822664</v>
      </c>
      <c r="H1733" t="n">
        <v>121.014769</v>
      </c>
      <c r="I1733" t="n">
        <v>8</v>
      </c>
      <c r="J1733" t="n">
        <v>3</v>
      </c>
      <c r="K1733" t="n">
        <v>82.59999999999999</v>
      </c>
      <c r="L1733" t="inlineStr">
        <is>
          <t>Primary</t>
        </is>
      </c>
    </row>
    <row r="1734">
      <c r="A1734" t="n">
        <v>5</v>
      </c>
      <c r="B1734" s="31" t="inlineStr">
        <is>
          <t>S11</t>
        </is>
      </c>
      <c r="C1734" t="inlineStr">
        <is>
          <t>PZ-C</t>
        </is>
      </c>
      <c r="D1734" t="n">
        <v>6</v>
      </c>
      <c r="E1734" t="inlineStr">
        <is>
          <t>O0077</t>
        </is>
      </c>
      <c r="F1734" t="inlineStr">
        <is>
          <t>新竹市東區原興路274號</t>
        </is>
      </c>
      <c r="G1734" t="n">
        <v>24.812147</v>
      </c>
      <c r="H1734" t="n">
        <v>120.999766</v>
      </c>
      <c r="I1734" t="n">
        <v>8</v>
      </c>
      <c r="J1734" t="n">
        <v>4.6</v>
      </c>
      <c r="K1734" t="n">
        <v>95.2</v>
      </c>
      <c r="L1734" t="inlineStr">
        <is>
          <t>Primary</t>
        </is>
      </c>
    </row>
    <row r="1735">
      <c r="A1735" t="n">
        <v>5</v>
      </c>
      <c r="B1735" s="31" t="inlineStr">
        <is>
          <t>S11</t>
        </is>
      </c>
      <c r="C1735" t="inlineStr">
        <is>
          <t>PZ-C</t>
        </is>
      </c>
      <c r="D1735" t="n">
        <v>7</v>
      </c>
      <c r="E1735" t="inlineStr">
        <is>
          <t>O0051</t>
        </is>
      </c>
      <c r="F1735" t="inlineStr">
        <is>
          <t>新竹市東區公道五路３段229號(東勢大排間淨水場)</t>
        </is>
      </c>
      <c r="G1735" t="n">
        <v>24.810978</v>
      </c>
      <c r="H1735" t="n">
        <v>120.989172</v>
      </c>
      <c r="I1735" t="n">
        <v>8</v>
      </c>
      <c r="J1735" t="n">
        <v>3</v>
      </c>
      <c r="K1735" t="n">
        <v>106.2</v>
      </c>
      <c r="L1735" t="inlineStr">
        <is>
          <t>Primary</t>
        </is>
      </c>
    </row>
    <row r="1736">
      <c r="A1736" t="n">
        <v>5</v>
      </c>
      <c r="B1736" s="31" t="inlineStr">
        <is>
          <t>S11</t>
        </is>
      </c>
      <c r="C1736" t="inlineStr">
        <is>
          <t>PZ-C</t>
        </is>
      </c>
      <c r="D1736" t="n">
        <v>8</v>
      </c>
      <c r="E1736" t="inlineStr">
        <is>
          <t>O0052</t>
        </is>
      </c>
      <c r="F1736" t="inlineStr">
        <is>
          <t>新竹市東區公道五路三段188號</t>
        </is>
      </c>
      <c r="G1736" t="n">
        <v>24.809336</v>
      </c>
      <c r="H1736" t="n">
        <v>120.988005</v>
      </c>
      <c r="I1736" t="n">
        <v>16</v>
      </c>
      <c r="J1736" t="n">
        <v>3</v>
      </c>
      <c r="K1736" t="n">
        <v>125.2</v>
      </c>
      <c r="L1736" t="inlineStr">
        <is>
          <t>Primary</t>
        </is>
      </c>
    </row>
    <row r="1737">
      <c r="A1737" t="n">
        <v>5</v>
      </c>
      <c r="B1737" s="31" t="inlineStr">
        <is>
          <t>S11</t>
        </is>
      </c>
      <c r="C1737" t="inlineStr">
        <is>
          <t>PZ-C</t>
        </is>
      </c>
      <c r="D1737" t="n">
        <v>9</v>
      </c>
      <c r="E1737" t="inlineStr">
        <is>
          <t>O0050</t>
        </is>
      </c>
      <c r="F1737" t="inlineStr">
        <is>
          <t>新竹市東區公園路193巷12號對面</t>
        </is>
      </c>
      <c r="G1737" t="n">
        <v>24.804033</v>
      </c>
      <c r="H1737" t="n">
        <v>120.982031</v>
      </c>
      <c r="I1737" t="n">
        <v>8</v>
      </c>
      <c r="J1737" t="n">
        <v>3</v>
      </c>
      <c r="K1737" t="n">
        <v>136.2</v>
      </c>
      <c r="L1737" t="inlineStr">
        <is>
          <t>Primary</t>
        </is>
      </c>
    </row>
    <row r="1738">
      <c r="A1738" t="n">
        <v>5</v>
      </c>
      <c r="B1738" s="31" t="inlineStr">
        <is>
          <t>S11</t>
        </is>
      </c>
      <c r="C1738" t="inlineStr">
        <is>
          <t>PZ-C</t>
        </is>
      </c>
      <c r="D1738" t="n">
        <v>10</v>
      </c>
      <c r="E1738" t="inlineStr">
        <is>
          <t>O0076</t>
        </is>
      </c>
      <c r="F1738" t="inlineStr">
        <is>
          <t>新竹市東區食品路57號-電聯開門-追加</t>
        </is>
      </c>
      <c r="G1738" t="n">
        <v>24.799155</v>
      </c>
      <c r="H1738" t="n">
        <v>120.980006</v>
      </c>
      <c r="I1738" t="n">
        <v>8</v>
      </c>
      <c r="J1738" t="n">
        <v>3</v>
      </c>
      <c r="K1738" t="n">
        <v>147.2</v>
      </c>
      <c r="L1738" t="inlineStr">
        <is>
          <t>Primary</t>
        </is>
      </c>
    </row>
    <row r="1739">
      <c r="A1739" t="n">
        <v>5</v>
      </c>
      <c r="B1739" s="31" t="inlineStr">
        <is>
          <t>S11</t>
        </is>
      </c>
      <c r="C1739" t="inlineStr">
        <is>
          <t>PZ-C</t>
        </is>
      </c>
      <c r="D1739" t="n">
        <v>11</v>
      </c>
      <c r="E1739" t="inlineStr">
        <is>
          <t>O0075</t>
        </is>
      </c>
      <c r="F1739" t="inlineStr">
        <is>
          <t>新竹市東區食品路57號-電聯開門</t>
        </is>
      </c>
      <c r="G1739" t="n">
        <v>24.79916933333333</v>
      </c>
      <c r="H1739" t="n">
        <v>120.9799473333333</v>
      </c>
      <c r="I1739" t="n">
        <v>24</v>
      </c>
      <c r="J1739" t="n">
        <v>2</v>
      </c>
      <c r="K1739" t="n">
        <v>173.2</v>
      </c>
      <c r="L1739" t="inlineStr">
        <is>
          <t>Primary</t>
        </is>
      </c>
    </row>
    <row r="1740">
      <c r="A1740" t="n">
        <v>5</v>
      </c>
      <c r="B1740" s="31" t="inlineStr">
        <is>
          <t>S11</t>
        </is>
      </c>
      <c r="C1740" t="inlineStr">
        <is>
          <t>PZ-C</t>
        </is>
      </c>
      <c r="D1740" t="n">
        <v>12</v>
      </c>
      <c r="E1740" t="inlineStr">
        <is>
          <t>O0073</t>
        </is>
      </c>
      <c r="F1740" t="inlineStr">
        <is>
          <t>新竹市東區食品路226號-竹蓮國小</t>
        </is>
      </c>
      <c r="G1740" t="n">
        <v>24.796372</v>
      </c>
      <c r="H1740" t="n">
        <v>120.974389</v>
      </c>
      <c r="I1740" t="n">
        <v>8</v>
      </c>
      <c r="J1740" t="n">
        <v>3</v>
      </c>
      <c r="K1740" t="n">
        <v>184.2</v>
      </c>
      <c r="L1740" t="inlineStr">
        <is>
          <t>Primary</t>
        </is>
      </c>
    </row>
    <row r="1741">
      <c r="A1741" t="n">
        <v>5</v>
      </c>
      <c r="B1741" s="31" t="inlineStr">
        <is>
          <t>S11</t>
        </is>
      </c>
      <c r="C1741" t="inlineStr">
        <is>
          <t>PZ-C</t>
        </is>
      </c>
      <c r="D1741" t="n">
        <v>13</v>
      </c>
      <c r="E1741" t="inlineStr">
        <is>
          <t>O0062</t>
        </is>
      </c>
      <c r="F1741" t="inlineStr">
        <is>
          <t>新竹市東區西大路228號</t>
        </is>
      </c>
      <c r="G1741" t="n">
        <v>24.798436</v>
      </c>
      <c r="H1741" t="n">
        <v>120.968598</v>
      </c>
      <c r="I1741" t="n">
        <v>8</v>
      </c>
      <c r="J1741" t="n">
        <v>3</v>
      </c>
      <c r="K1741" t="n">
        <v>195.2</v>
      </c>
      <c r="L1741" t="inlineStr">
        <is>
          <t>Primary</t>
        </is>
      </c>
    </row>
    <row r="1742">
      <c r="A1742" t="n">
        <v>5</v>
      </c>
      <c r="B1742" s="31" t="inlineStr">
        <is>
          <t>S11</t>
        </is>
      </c>
      <c r="C1742" t="inlineStr">
        <is>
          <t>PZ-C</t>
        </is>
      </c>
      <c r="D1742" t="n">
        <v>14</v>
      </c>
      <c r="E1742" t="inlineStr">
        <is>
          <t>O0048</t>
        </is>
      </c>
      <c r="F1742" t="inlineStr">
        <is>
          <t>新竹市東區中華路二段632號</t>
        </is>
      </c>
      <c r="G1742" t="n">
        <v>24.798758</v>
      </c>
      <c r="H1742" t="n">
        <v>120.966386</v>
      </c>
      <c r="I1742" t="n">
        <v>16</v>
      </c>
      <c r="J1742" t="n">
        <v>3</v>
      </c>
      <c r="K1742" t="n">
        <v>214.2</v>
      </c>
      <c r="L1742" t="inlineStr">
        <is>
          <t>Primary</t>
        </is>
      </c>
    </row>
    <row r="1743">
      <c r="A1743" t="n">
        <v>5</v>
      </c>
      <c r="B1743" s="31" t="inlineStr">
        <is>
          <t>S11</t>
        </is>
      </c>
      <c r="C1743" t="inlineStr">
        <is>
          <t>PZ-C</t>
        </is>
      </c>
      <c r="D1743" t="n">
        <v>15</v>
      </c>
      <c r="E1743" t="inlineStr">
        <is>
          <t>O0047</t>
        </is>
      </c>
      <c r="F1743" t="inlineStr">
        <is>
          <t>新竹市東區中華路二段514號</t>
        </is>
      </c>
      <c r="G1743" t="n">
        <v>24.800522</v>
      </c>
      <c r="H1743" t="n">
        <v>120.969206</v>
      </c>
      <c r="I1743" t="n">
        <v>8</v>
      </c>
      <c r="J1743" t="n">
        <v>3</v>
      </c>
      <c r="K1743" t="n">
        <v>225.2</v>
      </c>
      <c r="L1743" t="inlineStr">
        <is>
          <t>Primary</t>
        </is>
      </c>
    </row>
    <row r="1744">
      <c r="A1744" t="n">
        <v>5</v>
      </c>
      <c r="B1744" s="31" t="inlineStr">
        <is>
          <t>S11</t>
        </is>
      </c>
      <c r="C1744" t="inlineStr">
        <is>
          <t>PZ-C</t>
        </is>
      </c>
      <c r="D1744" t="n">
        <v>16</v>
      </c>
      <c r="E1744" t="inlineStr">
        <is>
          <t>O0068</t>
        </is>
      </c>
      <c r="F1744" t="inlineStr">
        <is>
          <t>新竹市東區南門街111巷7號</t>
        </is>
      </c>
      <c r="G1744" t="n">
        <v>24.802667</v>
      </c>
      <c r="H1744" t="n">
        <v>120.965972</v>
      </c>
      <c r="I1744" t="n">
        <v>8</v>
      </c>
      <c r="J1744" t="n">
        <v>3</v>
      </c>
      <c r="K1744" t="n">
        <v>236.2</v>
      </c>
      <c r="L1744" t="inlineStr">
        <is>
          <t>Primary</t>
        </is>
      </c>
    </row>
    <row r="1745">
      <c r="A1745" t="n">
        <v>5</v>
      </c>
      <c r="B1745" s="31" t="inlineStr">
        <is>
          <t>S11</t>
        </is>
      </c>
      <c r="C1745" t="inlineStr">
        <is>
          <t>PZ-C</t>
        </is>
      </c>
      <c r="D1745" t="n">
        <v>17</v>
      </c>
      <c r="E1745" t="inlineStr">
        <is>
          <t>O0009</t>
        </is>
      </c>
      <c r="F1745" t="inlineStr">
        <is>
          <t>新竹市北區北大路420號</t>
        </is>
      </c>
      <c r="G1745" t="n">
        <v>24.803878</v>
      </c>
      <c r="H1745" t="n">
        <v>120.960592</v>
      </c>
      <c r="I1745" t="n">
        <v>8</v>
      </c>
      <c r="J1745" t="n">
        <v>3</v>
      </c>
      <c r="K1745" t="n">
        <v>247.2</v>
      </c>
      <c r="L1745" t="inlineStr">
        <is>
          <t>Primary</t>
        </is>
      </c>
    </row>
    <row r="1746">
      <c r="A1746" t="n">
        <v>5</v>
      </c>
      <c r="B1746" s="31" t="inlineStr">
        <is>
          <t>S11</t>
        </is>
      </c>
      <c r="C1746" t="inlineStr">
        <is>
          <t>PZ-C</t>
        </is>
      </c>
      <c r="D1746" t="n">
        <v>18</v>
      </c>
      <c r="E1746" t="inlineStr">
        <is>
          <t>O0033</t>
        </is>
      </c>
      <c r="F1746" t="inlineStr">
        <is>
          <t>新竹市北區廣州街2號</t>
        </is>
      </c>
      <c r="G1746" t="n">
        <v>24.804122</v>
      </c>
      <c r="H1746" t="n">
        <v>120.959867</v>
      </c>
      <c r="I1746" t="n">
        <v>24</v>
      </c>
      <c r="J1746" t="n">
        <v>2</v>
      </c>
      <c r="K1746" t="n">
        <v>273.2</v>
      </c>
      <c r="L1746" t="inlineStr">
        <is>
          <t>Primary</t>
        </is>
      </c>
    </row>
    <row r="1747">
      <c r="A1747" t="n">
        <v>5</v>
      </c>
      <c r="B1747" s="31" t="inlineStr">
        <is>
          <t>S11</t>
        </is>
      </c>
      <c r="C1747" t="inlineStr">
        <is>
          <t>PZ-C</t>
        </is>
      </c>
      <c r="D1747" t="n">
        <v>19</v>
      </c>
      <c r="E1747" t="inlineStr">
        <is>
          <t>O0011</t>
        </is>
      </c>
      <c r="F1747" t="inlineStr">
        <is>
          <t>新竹市北區四維路89巷4號</t>
        </is>
      </c>
      <c r="G1747" t="n">
        <v>24.801081</v>
      </c>
      <c r="H1747" t="n">
        <v>120.960661</v>
      </c>
      <c r="I1747" t="n">
        <v>8</v>
      </c>
      <c r="J1747" t="n">
        <v>3</v>
      </c>
      <c r="K1747" t="n">
        <v>284.2</v>
      </c>
      <c r="L1747" t="inlineStr">
        <is>
          <t>Primary</t>
        </is>
      </c>
    </row>
    <row r="1748">
      <c r="A1748" t="n">
        <v>5</v>
      </c>
      <c r="B1748" s="31" t="inlineStr">
        <is>
          <t>S11</t>
        </is>
      </c>
      <c r="C1748" t="inlineStr">
        <is>
          <t>PZ-C</t>
        </is>
      </c>
      <c r="D1748" t="n">
        <v>20</v>
      </c>
      <c r="E1748" t="inlineStr">
        <is>
          <t>O0015</t>
        </is>
      </c>
      <c r="F1748" t="inlineStr">
        <is>
          <t>新竹市北區西門街295號對面</t>
        </is>
      </c>
      <c r="G1748" t="n">
        <v>24.7990424</v>
      </c>
      <c r="H1748" t="n">
        <v>120.9595182</v>
      </c>
      <c r="I1748" t="n">
        <v>64</v>
      </c>
      <c r="J1748" t="n">
        <v>3</v>
      </c>
      <c r="K1748" t="n">
        <v>351.2</v>
      </c>
      <c r="L1748" t="inlineStr">
        <is>
          <t>Primary</t>
        </is>
      </c>
    </row>
    <row r="1749">
      <c r="A1749" t="n">
        <v>5</v>
      </c>
      <c r="B1749" s="31" t="inlineStr">
        <is>
          <t>S11</t>
        </is>
      </c>
      <c r="C1749" t="inlineStr">
        <is>
          <t>PZ-C</t>
        </is>
      </c>
      <c r="D1749" t="n">
        <v>21</v>
      </c>
      <c r="E1749" t="inlineStr">
        <is>
          <t>O0016</t>
        </is>
      </c>
      <c r="F1749" t="inlineStr">
        <is>
          <t>新竹市北區西門街295號對面-9F</t>
        </is>
      </c>
      <c r="G1749" t="n">
        <v>24.798825</v>
      </c>
      <c r="H1749" t="n">
        <v>120.959603</v>
      </c>
      <c r="I1749" t="n">
        <v>16</v>
      </c>
      <c r="J1749" t="n">
        <v>2</v>
      </c>
      <c r="K1749" t="n">
        <v>369.2</v>
      </c>
      <c r="L1749" t="inlineStr">
        <is>
          <t>Primary</t>
        </is>
      </c>
    </row>
    <row r="1750">
      <c r="A1750" t="n">
        <v>5</v>
      </c>
      <c r="B1750" s="31" t="inlineStr">
        <is>
          <t>S11</t>
        </is>
      </c>
      <c r="C1750" t="inlineStr">
        <is>
          <t>PZ-C</t>
        </is>
      </c>
      <c r="D1750" t="n">
        <v>22</v>
      </c>
      <c r="E1750" t="inlineStr">
        <is>
          <t>O0017</t>
        </is>
      </c>
      <c r="F1750" t="inlineStr">
        <is>
          <t>新竹市北區育英路&amp;西門街交岔口</t>
        </is>
      </c>
      <c r="G1750" t="n">
        <v>24.79905</v>
      </c>
      <c r="H1750" t="n">
        <v>120.959053</v>
      </c>
      <c r="I1750" t="n">
        <v>8</v>
      </c>
      <c r="J1750" t="n">
        <v>2</v>
      </c>
      <c r="K1750" t="n">
        <v>379.2</v>
      </c>
      <c r="L1750" t="inlineStr">
        <is>
          <t>Primary</t>
        </is>
      </c>
    </row>
    <row r="1751">
      <c r="A1751" t="n">
        <v>5</v>
      </c>
      <c r="B1751" s="31" t="inlineStr">
        <is>
          <t>S11</t>
        </is>
      </c>
      <c r="C1751" t="inlineStr">
        <is>
          <t>PZ-C</t>
        </is>
      </c>
      <c r="D1751" t="n">
        <v>23</v>
      </c>
      <c r="E1751" t="inlineStr">
        <is>
          <t>O0034</t>
        </is>
      </c>
      <c r="F1751" t="inlineStr">
        <is>
          <t>新竹市北區警光路12巷</t>
        </is>
      </c>
      <c r="G1751" t="n">
        <v>24.797527</v>
      </c>
      <c r="H1751" t="n">
        <v>120.956869</v>
      </c>
      <c r="I1751" t="n">
        <v>8</v>
      </c>
      <c r="J1751" t="n">
        <v>3</v>
      </c>
      <c r="K1751" t="n">
        <v>390.2</v>
      </c>
      <c r="L1751" t="inlineStr">
        <is>
          <t>Primary</t>
        </is>
      </c>
    </row>
    <row r="1752">
      <c r="A1752" t="n">
        <v>5</v>
      </c>
      <c r="B1752" s="31" t="inlineStr">
        <is>
          <t>S11</t>
        </is>
      </c>
      <c r="C1752" t="inlineStr">
        <is>
          <t>PZ-C</t>
        </is>
      </c>
      <c r="D1752" t="n">
        <v>24</v>
      </c>
      <c r="E1752" t="inlineStr">
        <is>
          <t>O0085</t>
        </is>
      </c>
      <c r="F1752" t="inlineStr">
        <is>
          <t>新竹市香山區中山路479號旁</t>
        </is>
      </c>
      <c r="G1752" t="n">
        <v>24.797316</v>
      </c>
      <c r="H1752" t="n">
        <v>120.956092</v>
      </c>
      <c r="I1752" t="n">
        <v>8</v>
      </c>
      <c r="J1752" t="n">
        <v>2</v>
      </c>
      <c r="K1752" t="n">
        <v>400.2</v>
      </c>
      <c r="L1752" t="inlineStr">
        <is>
          <t>Primary</t>
        </is>
      </c>
    </row>
    <row r="1753">
      <c r="A1753" t="n">
        <v>5</v>
      </c>
      <c r="B1753" s="31" t="inlineStr">
        <is>
          <t>S11</t>
        </is>
      </c>
      <c r="C1753" t="inlineStr">
        <is>
          <t>PZ-C</t>
        </is>
      </c>
      <c r="D1753" t="n">
        <v>25</v>
      </c>
      <c r="E1753" t="inlineStr">
        <is>
          <t>O0084</t>
        </is>
      </c>
      <c r="F1753" t="inlineStr">
        <is>
          <t>新竹市香山區(北區)崧嶺路65號</t>
        </is>
      </c>
      <c r="G1753" t="n">
        <v>24.794633</v>
      </c>
      <c r="H1753" t="n">
        <v>120.954986</v>
      </c>
      <c r="I1753" t="n">
        <v>8</v>
      </c>
      <c r="J1753" t="n">
        <v>3</v>
      </c>
      <c r="K1753" t="n">
        <v>411.2</v>
      </c>
      <c r="L1753" t="inlineStr">
        <is>
          <t>Primary</t>
        </is>
      </c>
    </row>
    <row r="1754">
      <c r="A1754" t="n">
        <v>5</v>
      </c>
      <c r="B1754" s="31" t="inlineStr">
        <is>
          <t>S11</t>
        </is>
      </c>
      <c r="C1754" t="inlineStr">
        <is>
          <t>PZ-C</t>
        </is>
      </c>
      <c r="D1754" t="n">
        <v>26</v>
      </c>
      <c r="E1754" t="inlineStr">
        <is>
          <t>O0088</t>
        </is>
      </c>
      <c r="F1754" t="inlineStr">
        <is>
          <t>新竹市香山區中華路四段246巷39號</t>
        </is>
      </c>
      <c r="G1754" t="n">
        <v>24.794939</v>
      </c>
      <c r="H1754" t="n">
        <v>120.946797</v>
      </c>
      <c r="I1754" t="n">
        <v>8</v>
      </c>
      <c r="J1754" t="n">
        <v>3</v>
      </c>
      <c r="K1754" t="n">
        <v>422.2</v>
      </c>
      <c r="L1754" t="inlineStr">
        <is>
          <t>Primary</t>
        </is>
      </c>
    </row>
    <row r="1755">
      <c r="A1755" t="n">
        <v>5</v>
      </c>
      <c r="B1755" s="31" t="inlineStr">
        <is>
          <t>S11</t>
        </is>
      </c>
      <c r="C1755" t="inlineStr">
        <is>
          <t>PZ-C</t>
        </is>
      </c>
      <c r="D1755" t="n">
        <v>27</v>
      </c>
      <c r="E1755" t="inlineStr">
        <is>
          <t>O0090</t>
        </is>
      </c>
      <c r="F1755" t="inlineStr">
        <is>
          <t>新竹市香山區育德街139巷-電聯定位</t>
        </is>
      </c>
      <c r="G1755" t="n">
        <v>24.793627</v>
      </c>
      <c r="H1755" t="n">
        <v>120.942819</v>
      </c>
      <c r="I1755" t="n">
        <v>8</v>
      </c>
      <c r="J1755" t="n">
        <v>3</v>
      </c>
      <c r="K1755" t="n">
        <v>433.2</v>
      </c>
      <c r="L1755" t="inlineStr">
        <is>
          <t>Primary</t>
        </is>
      </c>
    </row>
    <row r="1756">
      <c r="A1756" t="n">
        <v>5</v>
      </c>
      <c r="B1756" s="31" t="inlineStr">
        <is>
          <t>S11</t>
        </is>
      </c>
      <c r="C1756" t="inlineStr">
        <is>
          <t>PZ-C</t>
        </is>
      </c>
      <c r="D1756" t="n">
        <v>28</v>
      </c>
      <c r="E1756" t="inlineStr">
        <is>
          <t>O0089</t>
        </is>
      </c>
      <c r="F1756" t="inlineStr">
        <is>
          <t>新竹市香山區牛埔路387號旁入-香山國小</t>
        </is>
      </c>
      <c r="G1756" t="n">
        <v>24.797361</v>
      </c>
      <c r="H1756" t="n">
        <v>120.942639</v>
      </c>
      <c r="I1756" t="n">
        <v>8</v>
      </c>
      <c r="J1756" t="n">
        <v>3</v>
      </c>
      <c r="K1756" t="n">
        <v>444.2</v>
      </c>
      <c r="L1756" t="inlineStr">
        <is>
          <t>Primary</t>
        </is>
      </c>
    </row>
    <row r="1757">
      <c r="A1757" t="n">
        <v>5</v>
      </c>
      <c r="B1757" s="31" t="inlineStr">
        <is>
          <t>S11</t>
        </is>
      </c>
      <c r="C1757" t="inlineStr">
        <is>
          <t>PZ-C</t>
        </is>
      </c>
      <c r="D1757" t="n">
        <v>29</v>
      </c>
      <c r="E1757" t="inlineStr">
        <is>
          <t>O0095</t>
        </is>
      </c>
      <c r="F1757" t="inlineStr">
        <is>
          <t>新竹市香山區浸水街22號隔壁工地</t>
        </is>
      </c>
      <c r="G1757" t="n">
        <v>24.797441</v>
      </c>
      <c r="H1757" t="n">
        <v>120.936891</v>
      </c>
      <c r="I1757" t="n">
        <v>8</v>
      </c>
      <c r="J1757" t="n">
        <v>3</v>
      </c>
      <c r="K1757" t="n">
        <v>455.2</v>
      </c>
      <c r="L1757" t="inlineStr">
        <is>
          <t>Primary</t>
        </is>
      </c>
    </row>
    <row r="1758">
      <c r="A1758" t="n">
        <v>5</v>
      </c>
      <c r="B1758" s="31" t="inlineStr">
        <is>
          <t>S11</t>
        </is>
      </c>
      <c r="C1758" t="inlineStr">
        <is>
          <t>PZ-C</t>
        </is>
      </c>
      <c r="D1758" t="n">
        <v>30</v>
      </c>
      <c r="E1758" t="inlineStr">
        <is>
          <t>O0096</t>
        </is>
      </c>
      <c r="F1758" t="inlineStr">
        <is>
          <t>新竹市香山區瑞光街164巷99號-太初玄清宮</t>
        </is>
      </c>
      <c r="G1758" t="n">
        <v>24.799011</v>
      </c>
      <c r="H1758" t="n">
        <v>120.920059</v>
      </c>
      <c r="I1758" t="n">
        <v>8</v>
      </c>
      <c r="J1758" t="n">
        <v>4.1</v>
      </c>
      <c r="K1758" t="n">
        <v>467.3</v>
      </c>
      <c r="L1758" t="inlineStr">
        <is>
          <t>Primary</t>
        </is>
      </c>
    </row>
    <row r="1759">
      <c r="A1759" t="n">
        <v>5</v>
      </c>
      <c r="B1759" s="31" t="inlineStr">
        <is>
          <t>S11</t>
        </is>
      </c>
      <c r="C1759" t="inlineStr">
        <is>
          <t>PZ-C</t>
        </is>
      </c>
      <c r="D1759" t="n">
        <v>31</v>
      </c>
      <c r="E1759" t="inlineStr">
        <is>
          <t>O0094</t>
        </is>
      </c>
      <c r="F1759" t="inlineStr">
        <is>
          <t>新竹市香山區海埔路518巷120號</t>
        </is>
      </c>
      <c r="G1759" t="n">
        <v>24.826836</v>
      </c>
      <c r="H1759" t="n">
        <v>120.912364</v>
      </c>
      <c r="I1759" t="n">
        <v>8</v>
      </c>
      <c r="J1759" t="n">
        <v>7.7</v>
      </c>
      <c r="K1759" t="n">
        <v>483</v>
      </c>
      <c r="L1759" t="inlineStr">
        <is>
          <t>Primary</t>
        </is>
      </c>
    </row>
    <row r="1760">
      <c r="A1760" t="n">
        <v>5</v>
      </c>
      <c r="B1760" s="31" t="inlineStr">
        <is>
          <t>S11</t>
        </is>
      </c>
      <c r="C1760" t="inlineStr">
        <is>
          <t>PZ-C</t>
        </is>
      </c>
      <c r="D1760" t="n">
        <v>32</v>
      </c>
      <c r="E1760" t="inlineStr">
        <is>
          <t>O0021</t>
        </is>
      </c>
      <c r="F1760" t="inlineStr">
        <is>
          <t>新竹市北區東大路四段236巷15號旁</t>
        </is>
      </c>
      <c r="G1760" t="n">
        <v>24.845286</v>
      </c>
      <c r="H1760" t="n">
        <v>120.930056</v>
      </c>
      <c r="I1760" t="n">
        <v>8</v>
      </c>
      <c r="J1760" t="n">
        <v>6.5</v>
      </c>
      <c r="K1760" t="n">
        <v>497.5</v>
      </c>
      <c r="L1760" t="inlineStr">
        <is>
          <t>Primary</t>
        </is>
      </c>
    </row>
    <row r="1761">
      <c r="A1761" t="n">
        <v>5</v>
      </c>
      <c r="B1761" s="31" t="inlineStr">
        <is>
          <t>S11</t>
        </is>
      </c>
      <c r="C1761" t="inlineStr">
        <is>
          <t>PZ-C</t>
        </is>
      </c>
      <c r="D1761" t="n">
        <v>33</v>
      </c>
      <c r="E1761" t="inlineStr">
        <is>
          <t>O0027</t>
        </is>
      </c>
      <c r="F1761" t="inlineStr">
        <is>
          <t>新竹市北區富美路35號</t>
        </is>
      </c>
      <c r="G1761" t="n">
        <v>24.841047</v>
      </c>
      <c r="H1761" t="n">
        <v>120.939222</v>
      </c>
      <c r="I1761" t="n">
        <v>8</v>
      </c>
      <c r="J1761" t="n">
        <v>3</v>
      </c>
      <c r="K1761" t="n">
        <v>508.5</v>
      </c>
      <c r="L1761" t="inlineStr">
        <is>
          <t>Primary</t>
        </is>
      </c>
    </row>
    <row r="1762">
      <c r="A1762" t="n">
        <v>6</v>
      </c>
      <c r="B1762" s="31" t="inlineStr">
        <is>
          <t>S11</t>
        </is>
      </c>
      <c r="C1762" t="inlineStr">
        <is>
          <t>PZ-C</t>
        </is>
      </c>
      <c r="D1762" t="n">
        <v>1</v>
      </c>
      <c r="E1762" t="inlineStr">
        <is>
          <t>J0088</t>
        </is>
      </c>
      <c r="F1762" t="inlineStr">
        <is>
          <t>新竹縣竹東鎮竹中路186號附近-火車站對面)</t>
        </is>
      </c>
      <c r="G1762" t="n">
        <v>24.781403</v>
      </c>
      <c r="H1762" t="n">
        <v>121.031031</v>
      </c>
      <c r="I1762" t="n">
        <v>8</v>
      </c>
      <c r="J1762" t="n">
        <v>24.2</v>
      </c>
      <c r="K1762" t="n">
        <v>32.2</v>
      </c>
      <c r="L1762" t="inlineStr">
        <is>
          <t>Primary</t>
        </is>
      </c>
    </row>
    <row r="1763">
      <c r="A1763" t="n">
        <v>6</v>
      </c>
      <c r="B1763" s="31" t="inlineStr">
        <is>
          <t>S11</t>
        </is>
      </c>
      <c r="C1763" t="inlineStr">
        <is>
          <t>PZ-C</t>
        </is>
      </c>
      <c r="D1763" t="n">
        <v>2</v>
      </c>
      <c r="E1763" t="inlineStr">
        <is>
          <t>O0040</t>
        </is>
      </c>
      <c r="F1763" t="inlineStr">
        <is>
          <t>新竹市東區力行路&amp;力行二路路口</t>
        </is>
      </c>
      <c r="G1763" t="n">
        <v>24.77567</v>
      </c>
      <c r="H1763" t="n">
        <v>121.01903</v>
      </c>
      <c r="I1763" t="n">
        <v>8</v>
      </c>
      <c r="J1763" t="n">
        <v>3.3</v>
      </c>
      <c r="K1763" t="n">
        <v>43.5</v>
      </c>
      <c r="L1763" t="inlineStr">
        <is>
          <t>Primary</t>
        </is>
      </c>
    </row>
    <row r="1764">
      <c r="A1764" t="n">
        <v>6</v>
      </c>
      <c r="B1764" s="31" t="inlineStr">
        <is>
          <t>S11</t>
        </is>
      </c>
      <c r="C1764" t="inlineStr">
        <is>
          <t>PZ-C</t>
        </is>
      </c>
      <c r="D1764" t="n">
        <v>3</v>
      </c>
      <c r="E1764" t="inlineStr">
        <is>
          <t>O0049</t>
        </is>
      </c>
      <c r="F1764" t="inlineStr">
        <is>
          <t>新竹市東區介壽路300號</t>
        </is>
      </c>
      <c r="G1764" t="n">
        <v>24.7775075</v>
      </c>
      <c r="H1764" t="n">
        <v>121.0175865</v>
      </c>
      <c r="I1764" t="n">
        <v>16</v>
      </c>
      <c r="J1764" t="n">
        <v>3</v>
      </c>
      <c r="K1764" t="n">
        <v>62.5</v>
      </c>
      <c r="L1764" t="inlineStr">
        <is>
          <t>Primary</t>
        </is>
      </c>
    </row>
    <row r="1765">
      <c r="A1765" t="n">
        <v>6</v>
      </c>
      <c r="B1765" s="31" t="inlineStr">
        <is>
          <t>S11</t>
        </is>
      </c>
      <c r="C1765" t="inlineStr">
        <is>
          <t>PZ-C</t>
        </is>
      </c>
      <c r="D1765" t="n">
        <v>4</v>
      </c>
      <c r="E1765" t="inlineStr">
        <is>
          <t>O0067</t>
        </is>
      </c>
      <c r="F1765" t="inlineStr">
        <is>
          <t>新竹市東區金山寺街(竹科實中警衛室)-附圖</t>
        </is>
      </c>
      <c r="G1765" t="n">
        <v>24.777817</v>
      </c>
      <c r="H1765" t="n">
        <v>121.014897</v>
      </c>
      <c r="I1765" t="n">
        <v>8</v>
      </c>
      <c r="J1765" t="n">
        <v>3</v>
      </c>
      <c r="K1765" t="n">
        <v>73.5</v>
      </c>
      <c r="L1765" t="inlineStr">
        <is>
          <t>Primary</t>
        </is>
      </c>
    </row>
    <row r="1766">
      <c r="A1766" t="n">
        <v>6</v>
      </c>
      <c r="B1766" s="31" t="inlineStr">
        <is>
          <t>S11</t>
        </is>
      </c>
      <c r="C1766" t="inlineStr">
        <is>
          <t>PZ-C</t>
        </is>
      </c>
      <c r="D1766" t="n">
        <v>5</v>
      </c>
      <c r="E1766" t="inlineStr">
        <is>
          <t>O0080</t>
        </is>
      </c>
      <c r="F1766" t="inlineStr">
        <is>
          <t>新竹市東區湖濱一路與湖濱二路交接處-近開臺金山寺</t>
        </is>
      </c>
      <c r="G1766" t="n">
        <v>24.777684</v>
      </c>
      <c r="H1766" t="n">
        <v>121.014081</v>
      </c>
      <c r="I1766" t="n">
        <v>8</v>
      </c>
      <c r="J1766" t="n">
        <v>2</v>
      </c>
      <c r="K1766" t="n">
        <v>83.5</v>
      </c>
      <c r="L1766" t="inlineStr">
        <is>
          <t>Primary</t>
        </is>
      </c>
    </row>
    <row r="1767">
      <c r="A1767" t="n">
        <v>6</v>
      </c>
      <c r="B1767" s="31" t="inlineStr">
        <is>
          <t>S11</t>
        </is>
      </c>
      <c r="C1767" t="inlineStr">
        <is>
          <t>PZ-C</t>
        </is>
      </c>
      <c r="D1767" t="n">
        <v>6</v>
      </c>
      <c r="E1767" t="inlineStr">
        <is>
          <t>O0081</t>
        </is>
      </c>
      <c r="F1767" t="inlineStr">
        <is>
          <t>新竹市東區園區一路&amp;竹村七路交叉口</t>
        </is>
      </c>
      <c r="G1767" t="n">
        <v>24.776495</v>
      </c>
      <c r="H1767" t="n">
        <v>121.010947</v>
      </c>
      <c r="I1767" t="n">
        <v>8</v>
      </c>
      <c r="J1767" t="n">
        <v>3</v>
      </c>
      <c r="K1767" t="n">
        <v>94.5</v>
      </c>
      <c r="L1767" t="inlineStr">
        <is>
          <t>Primary</t>
        </is>
      </c>
    </row>
    <row r="1768">
      <c r="A1768" t="n">
        <v>6</v>
      </c>
      <c r="B1768" s="31" t="inlineStr">
        <is>
          <t>S11</t>
        </is>
      </c>
      <c r="C1768" t="inlineStr">
        <is>
          <t>PZ-C</t>
        </is>
      </c>
      <c r="D1768" t="n">
        <v>7</v>
      </c>
      <c r="E1768" t="inlineStr">
        <is>
          <t>O0045</t>
        </is>
      </c>
      <c r="F1768" t="inlineStr">
        <is>
          <t>新竹市東區工業東四路&amp;東三路交叉口-從五號門進去</t>
        </is>
      </c>
      <c r="G1768" t="n">
        <v>24.775211</v>
      </c>
      <c r="H1768" t="n">
        <v>121.00765</v>
      </c>
      <c r="I1768" t="n">
        <v>8</v>
      </c>
      <c r="J1768" t="n">
        <v>3</v>
      </c>
      <c r="K1768" t="n">
        <v>105.5</v>
      </c>
      <c r="L1768" t="inlineStr">
        <is>
          <t>Primary</t>
        </is>
      </c>
    </row>
    <row r="1769">
      <c r="A1769" t="n">
        <v>6</v>
      </c>
      <c r="B1769" s="31" t="inlineStr">
        <is>
          <t>S11</t>
        </is>
      </c>
      <c r="C1769" t="inlineStr">
        <is>
          <t>PZ-C</t>
        </is>
      </c>
      <c r="D1769" t="n">
        <v>8</v>
      </c>
      <c r="E1769" t="inlineStr">
        <is>
          <t>O0041</t>
        </is>
      </c>
      <c r="F1769" t="inlineStr">
        <is>
          <t>新竹市東區工業東四路&amp;東三路交叉口</t>
        </is>
      </c>
      <c r="G1769" t="n">
        <v>24.775609</v>
      </c>
      <c r="H1769" t="n">
        <v>121.006964</v>
      </c>
      <c r="I1769" t="n">
        <v>24</v>
      </c>
      <c r="J1769" t="n">
        <v>2</v>
      </c>
      <c r="K1769" t="n">
        <v>131.5</v>
      </c>
      <c r="L1769" t="inlineStr">
        <is>
          <t>Primary</t>
        </is>
      </c>
    </row>
    <row r="1770">
      <c r="A1770" t="n">
        <v>6</v>
      </c>
      <c r="B1770" s="31" t="inlineStr">
        <is>
          <t>S11</t>
        </is>
      </c>
      <c r="C1770" t="inlineStr">
        <is>
          <t>PZ-C</t>
        </is>
      </c>
      <c r="D1770" t="n">
        <v>9</v>
      </c>
      <c r="E1770" t="inlineStr">
        <is>
          <t>O0044</t>
        </is>
      </c>
      <c r="F1770" t="inlineStr">
        <is>
          <t>新竹市東區工業東四路&amp;東三路交叉口-B棟</t>
        </is>
      </c>
      <c r="G1770" t="n">
        <v>24.77534666666667</v>
      </c>
      <c r="H1770" t="n">
        <v>121.0065456666667</v>
      </c>
      <c r="I1770" t="n">
        <v>45</v>
      </c>
      <c r="J1770" t="n">
        <v>2</v>
      </c>
      <c r="K1770" t="n">
        <v>178.5</v>
      </c>
      <c r="L1770" t="inlineStr">
        <is>
          <t>Primary</t>
        </is>
      </c>
    </row>
    <row r="1771">
      <c r="A1771" t="n">
        <v>6</v>
      </c>
      <c r="B1771" s="31" t="inlineStr">
        <is>
          <t>S11</t>
        </is>
      </c>
      <c r="C1771" t="inlineStr">
        <is>
          <t>PZ-C</t>
        </is>
      </c>
      <c r="D1771" t="n">
        <v>10</v>
      </c>
      <c r="E1771" t="inlineStr">
        <is>
          <t>O0043</t>
        </is>
      </c>
      <c r="F1771" t="inlineStr">
        <is>
          <t>新竹市東區工業東四路&amp;東三路交叉口-A棟</t>
        </is>
      </c>
      <c r="G1771" t="n">
        <v>24.775572</v>
      </c>
      <c r="H1771" t="n">
        <v>121.0061556666667</v>
      </c>
      <c r="I1771" t="n">
        <v>45</v>
      </c>
      <c r="J1771" t="n">
        <v>2</v>
      </c>
      <c r="K1771" t="n">
        <v>225.5</v>
      </c>
      <c r="L1771" t="inlineStr">
        <is>
          <t>Primary</t>
        </is>
      </c>
    </row>
    <row r="1772">
      <c r="A1772" t="n">
        <v>6</v>
      </c>
      <c r="B1772" s="31" t="inlineStr">
        <is>
          <t>S11</t>
        </is>
      </c>
      <c r="C1772" t="inlineStr">
        <is>
          <t>PZ-C</t>
        </is>
      </c>
      <c r="D1772" t="n">
        <v>11</v>
      </c>
      <c r="E1772" t="inlineStr">
        <is>
          <t>J0222</t>
        </is>
      </c>
      <c r="F1772" t="inlineStr">
        <is>
          <t>新竹縣寶山鄉工業東九路</t>
        </is>
      </c>
      <c r="G1772" t="n">
        <v>24.772603</v>
      </c>
      <c r="H1772" t="n">
        <v>121.004275</v>
      </c>
      <c r="I1772" t="n">
        <v>16</v>
      </c>
      <c r="J1772" t="n">
        <v>3</v>
      </c>
      <c r="K1772" t="n">
        <v>244.5</v>
      </c>
      <c r="L1772" t="inlineStr">
        <is>
          <t>Primary</t>
        </is>
      </c>
    </row>
    <row r="1773">
      <c r="A1773" t="n">
        <v>6</v>
      </c>
      <c r="B1773" s="31" t="inlineStr">
        <is>
          <t>S11</t>
        </is>
      </c>
      <c r="C1773" t="inlineStr">
        <is>
          <t>PZ-C</t>
        </is>
      </c>
      <c r="D1773" t="n">
        <v>12</v>
      </c>
      <c r="E1773" t="inlineStr">
        <is>
          <t>J0216</t>
        </is>
      </c>
      <c r="F1773" t="inlineStr">
        <is>
          <t>新竹縣寶山鄉大雅一街110號-會分散擺放-雙園料場</t>
        </is>
      </c>
      <c r="G1773" t="n">
        <v>24.767645</v>
      </c>
      <c r="H1773" t="n">
        <v>120.997675</v>
      </c>
      <c r="I1773" t="n">
        <v>32</v>
      </c>
      <c r="J1773" t="n">
        <v>3</v>
      </c>
      <c r="K1773" t="n">
        <v>279.5</v>
      </c>
      <c r="L1773" t="inlineStr">
        <is>
          <t>Primary</t>
        </is>
      </c>
    </row>
    <row r="1774">
      <c r="A1774" t="n">
        <v>6</v>
      </c>
      <c r="B1774" s="31" t="inlineStr">
        <is>
          <t>S11</t>
        </is>
      </c>
      <c r="C1774" t="inlineStr">
        <is>
          <t>PZ-C</t>
        </is>
      </c>
      <c r="D1774" t="n">
        <v>13</v>
      </c>
      <c r="E1774" t="inlineStr">
        <is>
          <t>J0213</t>
        </is>
      </c>
      <c r="F1774" t="inlineStr">
        <is>
          <t>新竹縣寶山鄉大雅一街110號-會分散擺放-環北料場</t>
        </is>
      </c>
      <c r="G1774" t="n">
        <v>24.769023</v>
      </c>
      <c r="H1774" t="n">
        <v>120.993325</v>
      </c>
      <c r="I1774" t="n">
        <v>32</v>
      </c>
      <c r="J1774" t="n">
        <v>3</v>
      </c>
      <c r="K1774" t="n">
        <v>314.5</v>
      </c>
      <c r="L1774" t="inlineStr">
        <is>
          <t>Primary</t>
        </is>
      </c>
    </row>
    <row r="1775">
      <c r="A1775" t="n">
        <v>6</v>
      </c>
      <c r="B1775" s="31" t="inlineStr">
        <is>
          <t>S11</t>
        </is>
      </c>
      <c r="C1775" t="inlineStr">
        <is>
          <t>PZ-C</t>
        </is>
      </c>
      <c r="D1775" t="n">
        <v>14</v>
      </c>
      <c r="E1775" t="inlineStr">
        <is>
          <t>J0223</t>
        </is>
      </c>
      <c r="F1775" t="inlineStr">
        <is>
          <t>新竹縣寶山鄉研新一路8號-新竹市科學園區</t>
        </is>
      </c>
      <c r="G1775" t="n">
        <v>24.775156</v>
      </c>
      <c r="H1775" t="n">
        <v>120.989544</v>
      </c>
      <c r="I1775" t="n">
        <v>8</v>
      </c>
      <c r="J1775" t="n">
        <v>3</v>
      </c>
      <c r="K1775" t="n">
        <v>325.5</v>
      </c>
      <c r="L1775" t="inlineStr">
        <is>
          <t>Primary</t>
        </is>
      </c>
    </row>
    <row r="1776">
      <c r="A1776" t="n">
        <v>6</v>
      </c>
      <c r="B1776" s="31" t="inlineStr">
        <is>
          <t>S11</t>
        </is>
      </c>
      <c r="C1776" t="inlineStr">
        <is>
          <t>PZ-C</t>
        </is>
      </c>
      <c r="D1776" t="n">
        <v>15</v>
      </c>
      <c r="E1776" t="inlineStr">
        <is>
          <t>O0060</t>
        </is>
      </c>
      <c r="F1776" t="inlineStr">
        <is>
          <t>新竹市東區光復路2段101號(清華大學台積館對面工地)</t>
        </is>
      </c>
      <c r="G1776" t="n">
        <v>24.787458</v>
      </c>
      <c r="H1776" t="n">
        <v>120.987866</v>
      </c>
      <c r="I1776" t="n">
        <v>16</v>
      </c>
      <c r="J1776" t="n">
        <v>3.3</v>
      </c>
      <c r="K1776" t="n">
        <v>344.8</v>
      </c>
      <c r="L1776" t="inlineStr">
        <is>
          <t>Primary</t>
        </is>
      </c>
    </row>
    <row r="1777">
      <c r="A1777" t="n">
        <v>6</v>
      </c>
      <c r="B1777" s="31" t="inlineStr">
        <is>
          <t>S11</t>
        </is>
      </c>
      <c r="C1777" t="inlineStr">
        <is>
          <t>PZ-C</t>
        </is>
      </c>
      <c r="D1777" t="n">
        <v>16</v>
      </c>
      <c r="E1777" t="inlineStr">
        <is>
          <t>O0063</t>
        </is>
      </c>
      <c r="F1777" t="inlineStr">
        <is>
          <t>新竹市東區明湖路116巷18弄</t>
        </is>
      </c>
      <c r="G1777" t="n">
        <v>24.792925</v>
      </c>
      <c r="H1777" t="n">
        <v>120.967006</v>
      </c>
      <c r="I1777" t="n">
        <v>8</v>
      </c>
      <c r="J1777" t="n">
        <v>5.3</v>
      </c>
      <c r="K1777" t="n">
        <v>358</v>
      </c>
      <c r="L1777" t="inlineStr">
        <is>
          <t>Primary</t>
        </is>
      </c>
    </row>
    <row r="1778">
      <c r="A1778" t="n">
        <v>6</v>
      </c>
      <c r="B1778" s="31" t="inlineStr">
        <is>
          <t>S11</t>
        </is>
      </c>
      <c r="C1778" t="inlineStr">
        <is>
          <t>PZ-C</t>
        </is>
      </c>
      <c r="D1778" t="n">
        <v>17</v>
      </c>
      <c r="E1778" t="inlineStr">
        <is>
          <t>O0074</t>
        </is>
      </c>
      <c r="F1778" t="inlineStr">
        <is>
          <t>新竹市東區食品路446巷</t>
        </is>
      </c>
      <c r="G1778" t="n">
        <v>24.793797</v>
      </c>
      <c r="H1778" t="n">
        <v>120.967253</v>
      </c>
      <c r="I1778" t="n">
        <v>8</v>
      </c>
      <c r="J1778" t="n">
        <v>3</v>
      </c>
      <c r="K1778" t="n">
        <v>369</v>
      </c>
      <c r="L1778" t="inlineStr">
        <is>
          <t>Primary</t>
        </is>
      </c>
    </row>
    <row r="1779">
      <c r="A1779" t="n">
        <v>6</v>
      </c>
      <c r="B1779" s="31" t="inlineStr">
        <is>
          <t>S11</t>
        </is>
      </c>
      <c r="C1779" t="inlineStr">
        <is>
          <t>PZ-C</t>
        </is>
      </c>
      <c r="D1779" t="n">
        <v>18</v>
      </c>
      <c r="E1779" t="inlineStr">
        <is>
          <t>O0030</t>
        </is>
      </c>
      <c r="F1779" t="inlineStr">
        <is>
          <t>新竹市北區經國路2段跟凌雲街口(入口凌雲街)-A.B棟-5F</t>
        </is>
      </c>
      <c r="G1779" t="n">
        <v>24.804206</v>
      </c>
      <c r="H1779" t="n">
        <v>120.954661</v>
      </c>
      <c r="I1779" t="n">
        <v>24</v>
      </c>
      <c r="J1779" t="n">
        <v>4.1</v>
      </c>
      <c r="K1779" t="n">
        <v>397.2</v>
      </c>
      <c r="L1779" t="inlineStr">
        <is>
          <t>Primary</t>
        </is>
      </c>
    </row>
    <row r="1780">
      <c r="A1780" t="n">
        <v>6</v>
      </c>
      <c r="B1780" s="31" t="inlineStr">
        <is>
          <t>S11</t>
        </is>
      </c>
      <c r="C1780" t="inlineStr">
        <is>
          <t>PZ-C</t>
        </is>
      </c>
      <c r="D1780" t="n">
        <v>19</v>
      </c>
      <c r="E1780" t="inlineStr">
        <is>
          <t>O0008</t>
        </is>
      </c>
      <c r="F1780" t="inlineStr">
        <is>
          <t>新竹市北區水田街206巷1號</t>
        </is>
      </c>
      <c r="G1780" t="n">
        <v>24.816228</v>
      </c>
      <c r="H1780" t="n">
        <v>120.969106</v>
      </c>
      <c r="I1780" t="n">
        <v>8</v>
      </c>
      <c r="J1780" t="n">
        <v>4.7</v>
      </c>
      <c r="K1780" t="n">
        <v>409.9</v>
      </c>
      <c r="L1780" t="inlineStr">
        <is>
          <t>Primary</t>
        </is>
      </c>
    </row>
    <row r="1781">
      <c r="A1781" t="n">
        <v>6</v>
      </c>
      <c r="B1781" s="31" t="inlineStr">
        <is>
          <t>S11</t>
        </is>
      </c>
      <c r="C1781" t="inlineStr">
        <is>
          <t>PZ-C</t>
        </is>
      </c>
      <c r="D1781" t="n">
        <v>20</v>
      </c>
      <c r="E1781" t="inlineStr">
        <is>
          <t>O0037</t>
        </is>
      </c>
      <c r="F1781" t="inlineStr">
        <is>
          <t>新竹市北區鐵道路二段146號對面-1F</t>
        </is>
      </c>
      <c r="G1781" t="n">
        <v>24.821353</v>
      </c>
      <c r="H1781" t="n">
        <v>120.972542</v>
      </c>
      <c r="I1781" t="n">
        <v>16</v>
      </c>
      <c r="J1781" t="n">
        <v>3</v>
      </c>
      <c r="K1781" t="n">
        <v>428.9</v>
      </c>
      <c r="L1781" t="inlineStr">
        <is>
          <t>Primary</t>
        </is>
      </c>
    </row>
    <row r="1782">
      <c r="A1782" t="n">
        <v>6</v>
      </c>
      <c r="B1782" s="31" t="inlineStr">
        <is>
          <t>S11</t>
        </is>
      </c>
      <c r="C1782" t="inlineStr">
        <is>
          <t>PZ-C</t>
        </is>
      </c>
      <c r="D1782" t="n">
        <v>21</v>
      </c>
      <c r="E1782" t="inlineStr">
        <is>
          <t>O0035</t>
        </is>
      </c>
      <c r="F1782" t="inlineStr">
        <is>
          <t>新竹市北區鐵道路二段140號旁</t>
        </is>
      </c>
      <c r="G1782" t="n">
        <v>24.821395</v>
      </c>
      <c r="H1782" t="n">
        <v>120.972475</v>
      </c>
      <c r="I1782" t="n">
        <v>8</v>
      </c>
      <c r="J1782" t="n">
        <v>2</v>
      </c>
      <c r="K1782" t="n">
        <v>438.9</v>
      </c>
      <c r="L1782" t="inlineStr">
        <is>
          <t>Primary</t>
        </is>
      </c>
    </row>
    <row r="1783">
      <c r="A1783" t="n">
        <v>6</v>
      </c>
      <c r="B1783" s="31" t="inlineStr">
        <is>
          <t>S11</t>
        </is>
      </c>
      <c r="C1783" t="inlineStr">
        <is>
          <t>PZ-C</t>
        </is>
      </c>
      <c r="D1783" t="n">
        <v>22</v>
      </c>
      <c r="E1783" t="inlineStr">
        <is>
          <t>O0028</t>
        </is>
      </c>
      <c r="F1783" t="inlineStr">
        <is>
          <t>新竹市北區湳雅街186-4號-自行定位</t>
        </is>
      </c>
      <c r="G1783" t="n">
        <v>24.821453</v>
      </c>
      <c r="H1783" t="n">
        <v>120.974995</v>
      </c>
      <c r="I1783" t="n">
        <v>8</v>
      </c>
      <c r="J1783" t="n">
        <v>3</v>
      </c>
      <c r="K1783" t="n">
        <v>449.9</v>
      </c>
      <c r="L1783" t="inlineStr">
        <is>
          <t>Primary</t>
        </is>
      </c>
    </row>
    <row r="1784">
      <c r="A1784" t="n">
        <v>6</v>
      </c>
      <c r="B1784" s="31" t="inlineStr">
        <is>
          <t>S11</t>
        </is>
      </c>
      <c r="C1784" t="inlineStr">
        <is>
          <t>PZ-C</t>
        </is>
      </c>
      <c r="D1784" t="n">
        <v>23</v>
      </c>
      <c r="E1784" t="inlineStr">
        <is>
          <t>O0022</t>
        </is>
      </c>
      <c r="F1784" t="inlineStr">
        <is>
          <t>新竹市北區武陵路325號-附地標</t>
        </is>
      </c>
      <c r="G1784" t="n">
        <v>24.825086</v>
      </c>
      <c r="H1784" t="n">
        <v>120.971409</v>
      </c>
      <c r="I1784" t="n">
        <v>8</v>
      </c>
      <c r="J1784" t="n">
        <v>3</v>
      </c>
      <c r="K1784" t="n">
        <v>460.9</v>
      </c>
      <c r="L1784" t="inlineStr">
        <is>
          <t>Primary</t>
        </is>
      </c>
    </row>
    <row r="1785">
      <c r="A1785" t="n">
        <v>6</v>
      </c>
      <c r="B1785" s="31" t="inlineStr">
        <is>
          <t>S11</t>
        </is>
      </c>
      <c r="C1785" t="inlineStr">
        <is>
          <t>PZ-C</t>
        </is>
      </c>
      <c r="D1785" t="n">
        <v>24</v>
      </c>
      <c r="E1785" t="inlineStr">
        <is>
          <t>O0038</t>
        </is>
      </c>
      <c r="F1785" t="inlineStr">
        <is>
          <t>新竹市北區鐵道路二段286巷工地</t>
        </is>
      </c>
      <c r="G1785" t="n">
        <v>24.823667</v>
      </c>
      <c r="H1785" t="n">
        <v>120.967484</v>
      </c>
      <c r="I1785" t="n">
        <v>8</v>
      </c>
      <c r="J1785" t="n">
        <v>3</v>
      </c>
      <c r="K1785" t="n">
        <v>471.9</v>
      </c>
      <c r="L1785" t="inlineStr">
        <is>
          <t>Primary</t>
        </is>
      </c>
    </row>
    <row r="1786">
      <c r="A1786" t="n">
        <v>6</v>
      </c>
      <c r="B1786" s="31" t="inlineStr">
        <is>
          <t>S11</t>
        </is>
      </c>
      <c r="C1786" t="inlineStr">
        <is>
          <t>PZ-C</t>
        </is>
      </c>
      <c r="D1786" t="n">
        <v>25</v>
      </c>
      <c r="E1786" t="inlineStr">
        <is>
          <t>O0024</t>
        </is>
      </c>
      <c r="F1786" t="inlineStr">
        <is>
          <t>新竹市北區金雅西街125號</t>
        </is>
      </c>
      <c r="G1786" t="n">
        <v>24.826475</v>
      </c>
      <c r="H1786" t="n">
        <v>120.964894</v>
      </c>
      <c r="I1786" t="n">
        <v>8</v>
      </c>
      <c r="J1786" t="n">
        <v>3</v>
      </c>
      <c r="K1786" t="n">
        <v>482.9</v>
      </c>
      <c r="L1786" t="inlineStr">
        <is>
          <t>Primary</t>
        </is>
      </c>
    </row>
    <row r="1787">
      <c r="A1787" t="n">
        <v>6</v>
      </c>
      <c r="B1787" s="31" t="inlineStr">
        <is>
          <t>S11</t>
        </is>
      </c>
      <c r="C1787" t="inlineStr">
        <is>
          <t>PZ-C</t>
        </is>
      </c>
      <c r="D1787" t="n">
        <v>26</v>
      </c>
      <c r="E1787" t="inlineStr">
        <is>
          <t>O0025</t>
        </is>
      </c>
      <c r="F1787" t="inlineStr">
        <is>
          <t>新竹市北區金農路116號</t>
        </is>
      </c>
      <c r="G1787" t="n">
        <v>24.825023</v>
      </c>
      <c r="H1787" t="n">
        <v>120.962158</v>
      </c>
      <c r="I1787" t="n">
        <v>8</v>
      </c>
      <c r="J1787" t="n">
        <v>3</v>
      </c>
      <c r="K1787" t="n">
        <v>493.9</v>
      </c>
      <c r="L1787" t="inlineStr">
        <is>
          <t>Primary</t>
        </is>
      </c>
    </row>
    <row r="1788">
      <c r="A1788" t="n">
        <v>6</v>
      </c>
      <c r="B1788" s="31" t="inlineStr">
        <is>
          <t>S11</t>
        </is>
      </c>
      <c r="C1788" t="inlineStr">
        <is>
          <t>PZ-C</t>
        </is>
      </c>
      <c r="D1788" t="n">
        <v>27</v>
      </c>
      <c r="E1788" t="inlineStr">
        <is>
          <t>O0007</t>
        </is>
      </c>
      <c r="F1788" t="inlineStr">
        <is>
          <t>新竹市北區公道五路四段與東大路三段110巷口-電聯定位</t>
        </is>
      </c>
      <c r="G1788" t="n">
        <v>24.832681</v>
      </c>
      <c r="H1788" t="n">
        <v>120.956075</v>
      </c>
      <c r="I1788" t="n">
        <v>8</v>
      </c>
      <c r="J1788" t="n">
        <v>3</v>
      </c>
      <c r="K1788" t="n">
        <v>504.9</v>
      </c>
      <c r="L1788" t="inlineStr">
        <is>
          <t>Primary</t>
        </is>
      </c>
    </row>
    <row r="1789">
      <c r="A1789" t="n">
        <v>1</v>
      </c>
      <c r="B1789" s="32" t="inlineStr">
        <is>
          <t>S12</t>
        </is>
      </c>
      <c r="C1789" t="inlineStr">
        <is>
          <t>PZ-C</t>
        </is>
      </c>
      <c r="D1789" t="n">
        <v>1</v>
      </c>
      <c r="E1789" t="inlineStr">
        <is>
          <t>J0202</t>
        </is>
      </c>
      <c r="F1789" t="inlineStr">
        <is>
          <t>新竹縣關西鎮育賢街51號對面</t>
        </is>
      </c>
      <c r="G1789" t="n">
        <v>24.792475</v>
      </c>
      <c r="H1789" t="n">
        <v>121.185552</v>
      </c>
      <c r="I1789" t="n">
        <v>16</v>
      </c>
      <c r="J1789" t="n">
        <v>13.4</v>
      </c>
      <c r="K1789" t="n">
        <v>29.4</v>
      </c>
      <c r="L1789" t="inlineStr">
        <is>
          <t>Primary</t>
        </is>
      </c>
    </row>
    <row r="1790">
      <c r="A1790" t="n">
        <v>1</v>
      </c>
      <c r="B1790" s="32" t="inlineStr">
        <is>
          <t>S12</t>
        </is>
      </c>
      <c r="C1790" t="inlineStr">
        <is>
          <t>PZ-C</t>
        </is>
      </c>
      <c r="D1790" t="n">
        <v>2</v>
      </c>
      <c r="E1790" t="inlineStr">
        <is>
          <t>J0204</t>
        </is>
      </c>
      <c r="F1790" t="inlineStr">
        <is>
          <t>新竹縣關西鎮東安里6鄰大德街135號旁</t>
        </is>
      </c>
      <c r="G1790" t="n">
        <v>24.787805</v>
      </c>
      <c r="H1790" t="n">
        <v>121.183273</v>
      </c>
      <c r="I1790" t="n">
        <v>8</v>
      </c>
      <c r="J1790" t="n">
        <v>3</v>
      </c>
      <c r="K1790" t="n">
        <v>40.4</v>
      </c>
      <c r="L1790" t="inlineStr">
        <is>
          <t>Primary</t>
        </is>
      </c>
    </row>
    <row r="1791">
      <c r="A1791" t="n">
        <v>1</v>
      </c>
      <c r="B1791" s="32" t="inlineStr">
        <is>
          <t>S12</t>
        </is>
      </c>
      <c r="C1791" t="inlineStr">
        <is>
          <t>PZ-C</t>
        </is>
      </c>
      <c r="D1791" t="n">
        <v>3</v>
      </c>
      <c r="E1791" t="inlineStr">
        <is>
          <t>J0201</t>
        </is>
      </c>
      <c r="F1791" t="inlineStr">
        <is>
          <t>新竹縣關西鎮育賢街128巷5號對面</t>
        </is>
      </c>
      <c r="G1791" t="n">
        <v>24.78774066666667</v>
      </c>
      <c r="H1791" t="n">
        <v>121.1822513333333</v>
      </c>
      <c r="I1791" t="n">
        <v>24</v>
      </c>
      <c r="J1791" t="n">
        <v>3</v>
      </c>
      <c r="K1791" t="n">
        <v>67.40000000000001</v>
      </c>
      <c r="L1791" t="inlineStr">
        <is>
          <t>Primary</t>
        </is>
      </c>
    </row>
    <row r="1792">
      <c r="A1792" t="n">
        <v>1</v>
      </c>
      <c r="B1792" s="32" t="inlineStr">
        <is>
          <t>S12</t>
        </is>
      </c>
      <c r="C1792" t="inlineStr">
        <is>
          <t>PZ-C</t>
        </is>
      </c>
      <c r="D1792" t="n">
        <v>4</v>
      </c>
      <c r="E1792" t="inlineStr">
        <is>
          <t>J0100</t>
        </is>
      </c>
      <c r="F1792" t="inlineStr">
        <is>
          <t>新竹縣芎林鄉五和街228號(三和技研)</t>
        </is>
      </c>
      <c r="G1792" t="n">
        <v>24.736514</v>
      </c>
      <c r="H1792" t="n">
        <v>121.127284</v>
      </c>
      <c r="I1792" t="n">
        <v>8</v>
      </c>
      <c r="J1792" t="n">
        <v>19.1</v>
      </c>
      <c r="K1792" t="n">
        <v>94.5</v>
      </c>
      <c r="L1792" t="inlineStr">
        <is>
          <t>Primary</t>
        </is>
      </c>
    </row>
    <row r="1793">
      <c r="A1793" t="n">
        <v>1</v>
      </c>
      <c r="B1793" s="32" t="inlineStr">
        <is>
          <t>S12</t>
        </is>
      </c>
      <c r="C1793" t="inlineStr">
        <is>
          <t>PZ-C</t>
        </is>
      </c>
      <c r="D1793" t="n">
        <v>5</v>
      </c>
      <c r="E1793" t="inlineStr">
        <is>
          <t>J0091</t>
        </is>
      </c>
      <c r="F1793" t="inlineStr">
        <is>
          <t>新竹縣竹東鎮沿河街59巷10號</t>
        </is>
      </c>
      <c r="G1793" t="n">
        <v>24.720473</v>
      </c>
      <c r="H1793" t="n">
        <v>121.101244</v>
      </c>
      <c r="I1793" t="n">
        <v>8</v>
      </c>
      <c r="J1793" t="n">
        <v>7.6</v>
      </c>
      <c r="K1793" t="n">
        <v>110.1</v>
      </c>
      <c r="L1793" t="inlineStr">
        <is>
          <t>Primary</t>
        </is>
      </c>
    </row>
    <row r="1794">
      <c r="A1794" t="n">
        <v>1</v>
      </c>
      <c r="B1794" s="32" t="inlineStr">
        <is>
          <t>S12</t>
        </is>
      </c>
      <c r="C1794" t="inlineStr">
        <is>
          <t>PZ-C</t>
        </is>
      </c>
      <c r="D1794" t="n">
        <v>6</v>
      </c>
      <c r="E1794" t="inlineStr">
        <is>
          <t>J0081</t>
        </is>
      </c>
      <c r="F1794" t="inlineStr">
        <is>
          <t>新竹縣竹東鎮中山路90號</t>
        </is>
      </c>
      <c r="G1794" t="n">
        <v>24.733494</v>
      </c>
      <c r="H1794" t="n">
        <v>121.095708</v>
      </c>
      <c r="I1794" t="n">
        <v>8</v>
      </c>
      <c r="J1794" t="n">
        <v>3.7</v>
      </c>
      <c r="K1794" t="n">
        <v>121.8</v>
      </c>
      <c r="L1794" t="inlineStr">
        <is>
          <t>Primary</t>
        </is>
      </c>
    </row>
    <row r="1795">
      <c r="A1795" t="n">
        <v>1</v>
      </c>
      <c r="B1795" s="32" t="inlineStr">
        <is>
          <t>S12</t>
        </is>
      </c>
      <c r="C1795" t="inlineStr">
        <is>
          <t>PZ-C</t>
        </is>
      </c>
      <c r="D1795" t="n">
        <v>7</v>
      </c>
      <c r="E1795" t="inlineStr">
        <is>
          <t>J0095</t>
        </is>
      </c>
      <c r="F1795" t="inlineStr">
        <is>
          <t>新竹縣竹東鎮康寧街225號</t>
        </is>
      </c>
      <c r="G1795" t="n">
        <v>24.740266</v>
      </c>
      <c r="H1795" t="n">
        <v>121.084655</v>
      </c>
      <c r="I1795" t="n">
        <v>16</v>
      </c>
      <c r="J1795" t="n">
        <v>3.2</v>
      </c>
      <c r="K1795" t="n">
        <v>141</v>
      </c>
      <c r="L1795" t="inlineStr">
        <is>
          <t>Primary</t>
        </is>
      </c>
    </row>
    <row r="1796">
      <c r="A1796" t="n">
        <v>1</v>
      </c>
      <c r="B1796" s="32" t="inlineStr">
        <is>
          <t>S12</t>
        </is>
      </c>
      <c r="C1796" t="inlineStr">
        <is>
          <t>PZ-C</t>
        </is>
      </c>
      <c r="D1796" t="n">
        <v>8</v>
      </c>
      <c r="E1796" t="inlineStr">
        <is>
          <t>J0089</t>
        </is>
      </c>
      <c r="F1796" t="inlineStr">
        <is>
          <t>新竹縣竹東鎮自強路169號-自強國民中學</t>
        </is>
      </c>
      <c r="G1796" t="n">
        <v>24.74628</v>
      </c>
      <c r="H1796" t="n">
        <v>121.084572</v>
      </c>
      <c r="I1796" t="n">
        <v>16</v>
      </c>
      <c r="J1796" t="n">
        <v>3</v>
      </c>
      <c r="K1796" t="n">
        <v>160</v>
      </c>
      <c r="L1796" t="inlineStr">
        <is>
          <t>Primary</t>
        </is>
      </c>
    </row>
    <row r="1797">
      <c r="A1797" t="n">
        <v>1</v>
      </c>
      <c r="B1797" s="32" t="inlineStr">
        <is>
          <t>S12</t>
        </is>
      </c>
      <c r="C1797" t="inlineStr">
        <is>
          <t>PZ-C</t>
        </is>
      </c>
      <c r="D1797" t="n">
        <v>9</v>
      </c>
      <c r="E1797" t="inlineStr">
        <is>
          <t>J0087</t>
        </is>
      </c>
      <c r="F1797" t="inlineStr">
        <is>
          <t>新竹縣竹東鎮永康街36號對面工地</t>
        </is>
      </c>
      <c r="G1797" t="n">
        <v>24.747539</v>
      </c>
      <c r="H1797" t="n">
        <v>121.081117</v>
      </c>
      <c r="I1797" t="n">
        <v>8</v>
      </c>
      <c r="J1797" t="n">
        <v>3</v>
      </c>
      <c r="K1797" t="n">
        <v>171</v>
      </c>
      <c r="L1797" t="inlineStr">
        <is>
          <t>Primary</t>
        </is>
      </c>
    </row>
    <row r="1798">
      <c r="A1798" t="n">
        <v>1</v>
      </c>
      <c r="B1798" s="32" t="inlineStr">
        <is>
          <t>S12</t>
        </is>
      </c>
      <c r="C1798" t="inlineStr">
        <is>
          <t>PZ-C</t>
        </is>
      </c>
      <c r="D1798" t="n">
        <v>10</v>
      </c>
      <c r="E1798" t="inlineStr">
        <is>
          <t>J0096</t>
        </is>
      </c>
      <c r="F1798" t="inlineStr">
        <is>
          <t>新竹縣竹東鎮敦睦街2巷35號旁</t>
        </is>
      </c>
      <c r="G1798" t="n">
        <v>24.745455</v>
      </c>
      <c r="H1798" t="n">
        <v>121.080678</v>
      </c>
      <c r="I1798" t="n">
        <v>8</v>
      </c>
      <c r="J1798" t="n">
        <v>3</v>
      </c>
      <c r="K1798" t="n">
        <v>182</v>
      </c>
      <c r="L1798" t="inlineStr">
        <is>
          <t>Primary</t>
        </is>
      </c>
    </row>
    <row r="1799">
      <c r="A1799" t="n">
        <v>1</v>
      </c>
      <c r="B1799" s="32" t="inlineStr">
        <is>
          <t>S12</t>
        </is>
      </c>
      <c r="C1799" t="inlineStr">
        <is>
          <t>PZ-C</t>
        </is>
      </c>
      <c r="D1799" t="n">
        <v>11</v>
      </c>
      <c r="E1799" t="inlineStr">
        <is>
          <t>J0092</t>
        </is>
      </c>
      <c r="F1799" t="inlineStr">
        <is>
          <t>新竹縣竹東鎮金福街13巷38號</t>
        </is>
      </c>
      <c r="G1799" t="n">
        <v>24.752314</v>
      </c>
      <c r="H1799" t="n">
        <v>121.068459</v>
      </c>
      <c r="I1799" t="n">
        <v>8</v>
      </c>
      <c r="J1799" t="n">
        <v>3.5</v>
      </c>
      <c r="K1799" t="n">
        <v>193.5</v>
      </c>
      <c r="L1799" t="inlineStr">
        <is>
          <t>Primary</t>
        </is>
      </c>
    </row>
    <row r="1800">
      <c r="A1800" t="n">
        <v>1</v>
      </c>
      <c r="B1800" s="32" t="inlineStr">
        <is>
          <t>S12</t>
        </is>
      </c>
      <c r="C1800" t="inlineStr">
        <is>
          <t>PZ-C</t>
        </is>
      </c>
      <c r="D1800" t="n">
        <v>12</v>
      </c>
      <c r="E1800" t="inlineStr">
        <is>
          <t>J0083</t>
        </is>
      </c>
      <c r="F1800" t="inlineStr">
        <is>
          <t>新竹縣竹東鎮中興路二段169巷11號</t>
        </is>
      </c>
      <c r="G1800" t="n">
        <v>24.75883966666666</v>
      </c>
      <c r="H1800" t="n">
        <v>121.062924</v>
      </c>
      <c r="I1800" t="n">
        <v>48</v>
      </c>
      <c r="J1800" t="n">
        <v>3</v>
      </c>
      <c r="K1800" t="n">
        <v>244.5</v>
      </c>
      <c r="L1800" t="inlineStr">
        <is>
          <t>Primary</t>
        </is>
      </c>
    </row>
    <row r="1801">
      <c r="A1801" t="n">
        <v>1</v>
      </c>
      <c r="B1801" s="32" t="inlineStr">
        <is>
          <t>S12</t>
        </is>
      </c>
      <c r="C1801" t="inlineStr">
        <is>
          <t>PZ-C</t>
        </is>
      </c>
      <c r="D1801" t="n">
        <v>13</v>
      </c>
      <c r="E1801" t="inlineStr">
        <is>
          <t>J0106</t>
        </is>
      </c>
      <c r="F1801" t="inlineStr">
        <is>
          <t>新竹縣芎林鄉富林路三段400號</t>
        </is>
      </c>
      <c r="G1801" t="n">
        <v>24.776242</v>
      </c>
      <c r="H1801" t="n">
        <v>121.072617</v>
      </c>
      <c r="I1801" t="n">
        <v>8</v>
      </c>
      <c r="J1801" t="n">
        <v>5.2</v>
      </c>
      <c r="K1801" t="n">
        <v>257.7</v>
      </c>
      <c r="L1801" t="inlineStr">
        <is>
          <t>Primary</t>
        </is>
      </c>
    </row>
    <row r="1802">
      <c r="A1802" t="n">
        <v>1</v>
      </c>
      <c r="B1802" s="32" t="inlineStr">
        <is>
          <t>S12</t>
        </is>
      </c>
      <c r="C1802" t="inlineStr">
        <is>
          <t>PZ-C</t>
        </is>
      </c>
      <c r="D1802" t="n">
        <v>14</v>
      </c>
      <c r="E1802" t="inlineStr">
        <is>
          <t>J0103</t>
        </is>
      </c>
      <c r="F1802" t="inlineStr">
        <is>
          <t>新竹縣芎林鄉文德路5號-星巴克芎林文德門市</t>
        </is>
      </c>
      <c r="G1802" t="n">
        <v>24.776025</v>
      </c>
      <c r="H1802" t="n">
        <v>121.07545</v>
      </c>
      <c r="I1802" t="n">
        <v>8</v>
      </c>
      <c r="J1802" t="n">
        <v>3</v>
      </c>
      <c r="K1802" t="n">
        <v>268.7</v>
      </c>
      <c r="L1802" t="inlineStr">
        <is>
          <t>Primary</t>
        </is>
      </c>
    </row>
    <row r="1803">
      <c r="A1803" t="n">
        <v>1</v>
      </c>
      <c r="B1803" s="32" t="inlineStr">
        <is>
          <t>S12</t>
        </is>
      </c>
      <c r="C1803" t="inlineStr">
        <is>
          <t>PZ-C</t>
        </is>
      </c>
      <c r="D1803" t="n">
        <v>15</v>
      </c>
      <c r="E1803" t="inlineStr">
        <is>
          <t>J0104</t>
        </is>
      </c>
      <c r="F1803" t="inlineStr">
        <is>
          <t>新竹縣芎林鄉光明路50號旁</t>
        </is>
      </c>
      <c r="G1803" t="n">
        <v>24.779561</v>
      </c>
      <c r="H1803" t="n">
        <v>121.076273</v>
      </c>
      <c r="I1803" t="n">
        <v>8</v>
      </c>
      <c r="J1803" t="n">
        <v>3</v>
      </c>
      <c r="K1803" t="n">
        <v>279.7</v>
      </c>
      <c r="L1803" t="inlineStr">
        <is>
          <t>Primary</t>
        </is>
      </c>
    </row>
    <row r="1804">
      <c r="A1804" t="n">
        <v>1</v>
      </c>
      <c r="B1804" s="32" t="inlineStr">
        <is>
          <t>S12</t>
        </is>
      </c>
      <c r="C1804" t="inlineStr">
        <is>
          <t>PZ-C</t>
        </is>
      </c>
      <c r="D1804" t="n">
        <v>16</v>
      </c>
      <c r="E1804" t="inlineStr">
        <is>
          <t>J0109</t>
        </is>
      </c>
      <c r="F1804" t="inlineStr">
        <is>
          <t>新竹縣芎林鄉綠獅三街9巷7號</t>
        </is>
      </c>
      <c r="G1804" t="n">
        <v>24.782748</v>
      </c>
      <c r="H1804" t="n">
        <v>121.0747</v>
      </c>
      <c r="I1804" t="n">
        <v>8</v>
      </c>
      <c r="J1804" t="n">
        <v>3</v>
      </c>
      <c r="K1804" t="n">
        <v>290.7</v>
      </c>
      <c r="L1804" t="inlineStr">
        <is>
          <t>Primary</t>
        </is>
      </c>
    </row>
    <row r="1805">
      <c r="A1805" t="n">
        <v>1</v>
      </c>
      <c r="B1805" s="32" t="inlineStr">
        <is>
          <t>S12</t>
        </is>
      </c>
      <c r="C1805" t="inlineStr">
        <is>
          <t>PZ-C</t>
        </is>
      </c>
      <c r="D1805" t="n">
        <v>17</v>
      </c>
      <c r="E1805" t="inlineStr">
        <is>
          <t>J0105</t>
        </is>
      </c>
      <c r="F1805" t="inlineStr">
        <is>
          <t>新竹縣芎林鄉金獅六街141號旁</t>
        </is>
      </c>
      <c r="G1805" t="n">
        <v>24.791269</v>
      </c>
      <c r="H1805" t="n">
        <v>121.064897</v>
      </c>
      <c r="I1805" t="n">
        <v>8</v>
      </c>
      <c r="J1805" t="n">
        <v>3.3</v>
      </c>
      <c r="K1805" t="n">
        <v>302</v>
      </c>
      <c r="L1805" t="inlineStr">
        <is>
          <t>Primary</t>
        </is>
      </c>
    </row>
    <row r="1806">
      <c r="A1806" t="n">
        <v>1</v>
      </c>
      <c r="B1806" s="32" t="inlineStr">
        <is>
          <t>S12</t>
        </is>
      </c>
      <c r="C1806" t="inlineStr">
        <is>
          <t>PZ-C</t>
        </is>
      </c>
      <c r="D1806" t="n">
        <v>18</v>
      </c>
      <c r="E1806" t="inlineStr">
        <is>
          <t>J0030</t>
        </is>
      </c>
      <c r="F1806" t="inlineStr">
        <is>
          <t>新竹縣竹北市東興路１段839號-東海國小</t>
        </is>
      </c>
      <c r="G1806" t="n">
        <v>24.805456</v>
      </c>
      <c r="H1806" t="n">
        <v>121.050275</v>
      </c>
      <c r="I1806" t="n">
        <v>24</v>
      </c>
      <c r="J1806" t="n">
        <v>5.2</v>
      </c>
      <c r="K1806" t="n">
        <v>331.2</v>
      </c>
      <c r="L1806" t="inlineStr">
        <is>
          <t>Primary</t>
        </is>
      </c>
    </row>
    <row r="1807">
      <c r="A1807" t="n">
        <v>1</v>
      </c>
      <c r="B1807" s="32" t="inlineStr">
        <is>
          <t>S12</t>
        </is>
      </c>
      <c r="C1807" t="inlineStr">
        <is>
          <t>PZ-C</t>
        </is>
      </c>
      <c r="D1807" t="n">
        <v>19</v>
      </c>
      <c r="E1807" t="inlineStr">
        <is>
          <t>J0031</t>
        </is>
      </c>
      <c r="F1807" t="inlineStr">
        <is>
          <t>新竹縣竹北市東興路１段839號-東海國小-追加</t>
        </is>
      </c>
      <c r="G1807" t="n">
        <v>24.805456</v>
      </c>
      <c r="H1807" t="n">
        <v>121.050275</v>
      </c>
      <c r="I1807" t="n">
        <v>8</v>
      </c>
      <c r="J1807" t="n">
        <v>2</v>
      </c>
      <c r="K1807" t="n">
        <v>341.2</v>
      </c>
      <c r="L1807" t="inlineStr">
        <is>
          <t>Primary</t>
        </is>
      </c>
    </row>
    <row r="1808">
      <c r="A1808" t="n">
        <v>1</v>
      </c>
      <c r="B1808" s="32" t="inlineStr">
        <is>
          <t>S12</t>
        </is>
      </c>
      <c r="C1808" t="inlineStr">
        <is>
          <t>PZ-C</t>
        </is>
      </c>
      <c r="D1808" t="n">
        <v>20</v>
      </c>
      <c r="E1808" t="inlineStr">
        <is>
          <t>J0016</t>
        </is>
      </c>
      <c r="F1808" t="inlineStr">
        <is>
          <t>新竹縣竹北市生醫五路15巷18號旁工地</t>
        </is>
      </c>
      <c r="G1808" t="n">
        <v>24.804953</v>
      </c>
      <c r="H1808" t="n">
        <v>121.047986</v>
      </c>
      <c r="I1808" t="n">
        <v>8</v>
      </c>
      <c r="J1808" t="n">
        <v>3</v>
      </c>
      <c r="K1808" t="n">
        <v>352.2</v>
      </c>
      <c r="L1808" t="inlineStr">
        <is>
          <t>Primary</t>
        </is>
      </c>
    </row>
    <row r="1809">
      <c r="A1809" t="n">
        <v>1</v>
      </c>
      <c r="B1809" s="32" t="inlineStr">
        <is>
          <t>S12</t>
        </is>
      </c>
      <c r="C1809" t="inlineStr">
        <is>
          <t>PZ-C</t>
        </is>
      </c>
      <c r="D1809" t="n">
        <v>21</v>
      </c>
      <c r="E1809" t="inlineStr">
        <is>
          <t>J0017</t>
        </is>
      </c>
      <c r="F1809" t="inlineStr">
        <is>
          <t>新竹縣竹北市生醫路二段150號(隔壁工地)</t>
        </is>
      </c>
      <c r="G1809" t="n">
        <v>24.803075</v>
      </c>
      <c r="H1809" t="n">
        <v>121.045875</v>
      </c>
      <c r="I1809" t="n">
        <v>24</v>
      </c>
      <c r="J1809" t="n">
        <v>3</v>
      </c>
      <c r="K1809" t="n">
        <v>379.2</v>
      </c>
      <c r="L1809" t="inlineStr">
        <is>
          <t>Primary</t>
        </is>
      </c>
    </row>
    <row r="1810">
      <c r="A1810" t="n">
        <v>1</v>
      </c>
      <c r="B1810" s="32" t="inlineStr">
        <is>
          <t>S12</t>
        </is>
      </c>
      <c r="C1810" t="inlineStr">
        <is>
          <t>PZ-C</t>
        </is>
      </c>
      <c r="D1810" t="n">
        <v>22</v>
      </c>
      <c r="E1810" t="inlineStr">
        <is>
          <t>J0059</t>
        </is>
      </c>
      <c r="F1810" t="inlineStr">
        <is>
          <t>新竹縣竹北市隘口二路382號對面工地</t>
        </is>
      </c>
      <c r="G1810" t="n">
        <v>24.803067</v>
      </c>
      <c r="H1810" t="n">
        <v>121.043886</v>
      </c>
      <c r="I1810" t="n">
        <v>24</v>
      </c>
      <c r="J1810" t="n">
        <v>3</v>
      </c>
      <c r="K1810" t="n">
        <v>406.2</v>
      </c>
      <c r="L1810" t="inlineStr">
        <is>
          <t>Primary</t>
        </is>
      </c>
    </row>
    <row r="1811">
      <c r="A1811" t="n">
        <v>1</v>
      </c>
      <c r="B1811" s="32" t="inlineStr">
        <is>
          <t>S12</t>
        </is>
      </c>
      <c r="C1811" t="inlineStr">
        <is>
          <t>PZ-C</t>
        </is>
      </c>
      <c r="D1811" t="n">
        <v>23</v>
      </c>
      <c r="E1811" t="inlineStr">
        <is>
          <t>J0015</t>
        </is>
      </c>
      <c r="F1811" t="inlineStr">
        <is>
          <t>新竹縣竹北市文興路二段360號</t>
        </is>
      </c>
      <c r="G1811" t="n">
        <v>24.8045</v>
      </c>
      <c r="H1811" t="n">
        <v>121.041944</v>
      </c>
      <c r="I1811" t="n">
        <v>8</v>
      </c>
      <c r="J1811" t="n">
        <v>3</v>
      </c>
      <c r="K1811" t="n">
        <v>417.2</v>
      </c>
      <c r="L1811" t="inlineStr">
        <is>
          <t>Primary</t>
        </is>
      </c>
    </row>
    <row r="1812">
      <c r="A1812" t="n">
        <v>1</v>
      </c>
      <c r="B1812" s="32" t="inlineStr">
        <is>
          <t>S12</t>
        </is>
      </c>
      <c r="C1812" t="inlineStr">
        <is>
          <t>PZ-C</t>
        </is>
      </c>
      <c r="D1812" t="n">
        <v>24</v>
      </c>
      <c r="E1812" t="inlineStr">
        <is>
          <t>J0055</t>
        </is>
      </c>
      <c r="F1812" t="inlineStr">
        <is>
          <t>新竹縣竹北市隘口一街&amp;高鐵八路交叉口</t>
        </is>
      </c>
      <c r="G1812" t="n">
        <v>24.80485</v>
      </c>
      <c r="H1812" t="n">
        <v>121.041408</v>
      </c>
      <c r="I1812" t="n">
        <v>16</v>
      </c>
      <c r="J1812" t="n">
        <v>2</v>
      </c>
      <c r="K1812" t="n">
        <v>435.2</v>
      </c>
      <c r="L1812" t="inlineStr">
        <is>
          <t>Primary</t>
        </is>
      </c>
    </row>
    <row r="1813">
      <c r="A1813" t="n">
        <v>1</v>
      </c>
      <c r="B1813" s="32" t="inlineStr">
        <is>
          <t>S12</t>
        </is>
      </c>
      <c r="C1813" t="inlineStr">
        <is>
          <t>PZ-C</t>
        </is>
      </c>
      <c r="D1813" t="n">
        <v>25</v>
      </c>
      <c r="E1813" t="inlineStr">
        <is>
          <t>J0060</t>
        </is>
      </c>
      <c r="F1813" t="inlineStr">
        <is>
          <t>新竹縣竹北市隘口三街&amp;高鐵八路交叉口</t>
        </is>
      </c>
      <c r="G1813" t="n">
        <v>24.80267928571428</v>
      </c>
      <c r="H1813" t="n">
        <v>121.0407801428571</v>
      </c>
      <c r="I1813" t="n">
        <v>56</v>
      </c>
      <c r="J1813" t="n">
        <v>3</v>
      </c>
      <c r="K1813" t="n">
        <v>494.2</v>
      </c>
      <c r="L1813" t="inlineStr">
        <is>
          <t>Primary</t>
        </is>
      </c>
    </row>
    <row r="1814">
      <c r="A1814" t="n">
        <v>1</v>
      </c>
      <c r="B1814" s="32" t="inlineStr">
        <is>
          <t>S12</t>
        </is>
      </c>
      <c r="C1814" t="inlineStr">
        <is>
          <t>PZ-C</t>
        </is>
      </c>
      <c r="D1814" t="n">
        <v>26</v>
      </c>
      <c r="E1814" t="inlineStr">
        <is>
          <t>J0057</t>
        </is>
      </c>
      <c r="F1814" t="inlineStr">
        <is>
          <t>新竹縣竹北市隘口七街52號隔壁工地</t>
        </is>
      </c>
      <c r="G1814" t="n">
        <v>24.801667</v>
      </c>
      <c r="H1814" t="n">
        <v>121.040222</v>
      </c>
      <c r="I1814" t="n">
        <v>8</v>
      </c>
      <c r="J1814" t="n">
        <v>3</v>
      </c>
      <c r="K1814" t="n">
        <v>505.2</v>
      </c>
      <c r="L1814" t="inlineStr">
        <is>
          <t>Primary</t>
        </is>
      </c>
    </row>
    <row r="1815">
      <c r="A1815" t="n">
        <v>1</v>
      </c>
      <c r="B1815" s="32" t="inlineStr">
        <is>
          <t>S12</t>
        </is>
      </c>
      <c r="C1815" t="inlineStr">
        <is>
          <t>PZ-C</t>
        </is>
      </c>
      <c r="D1815" t="n">
        <v>27</v>
      </c>
      <c r="E1815" t="inlineStr">
        <is>
          <t>J0011</t>
        </is>
      </c>
      <c r="F1815" t="inlineStr">
        <is>
          <t>新竹縣竹北市六家五路與高鐵六路交岔口</t>
        </is>
      </c>
      <c r="G1815" t="n">
        <v>24.801597</v>
      </c>
      <c r="H1815" t="n">
        <v>121.03898</v>
      </c>
      <c r="I1815" t="n">
        <v>8</v>
      </c>
      <c r="J1815" t="n">
        <v>3</v>
      </c>
      <c r="K1815" t="n">
        <v>516.2</v>
      </c>
      <c r="L1815" t="inlineStr">
        <is>
          <t>Primary</t>
        </is>
      </c>
    </row>
    <row r="1816">
      <c r="A1816" t="n">
        <v>2</v>
      </c>
      <c r="B1816" s="32" t="inlineStr">
        <is>
          <t>S12</t>
        </is>
      </c>
      <c r="C1816" t="inlineStr">
        <is>
          <t>PZ-C</t>
        </is>
      </c>
      <c r="D1816" t="n">
        <v>1</v>
      </c>
      <c r="E1816" t="inlineStr">
        <is>
          <t>H0620</t>
        </is>
      </c>
      <c r="F1816" t="inlineStr">
        <is>
          <t>桃園市桃園區新埔三街50號對面</t>
        </is>
      </c>
      <c r="G1816" t="n">
        <v>25.01061</v>
      </c>
      <c r="H1816" t="n">
        <v>121.3033115</v>
      </c>
      <c r="I1816" t="n">
        <v>16</v>
      </c>
      <c r="J1816" t="n">
        <v>13.9</v>
      </c>
      <c r="K1816" t="n">
        <v>29.9</v>
      </c>
      <c r="L1816" t="inlineStr">
        <is>
          <t>Primary</t>
        </is>
      </c>
    </row>
    <row r="1817">
      <c r="A1817" t="n">
        <v>2</v>
      </c>
      <c r="B1817" s="32" t="inlineStr">
        <is>
          <t>S12</t>
        </is>
      </c>
      <c r="C1817" t="inlineStr">
        <is>
          <t>PZ-C</t>
        </is>
      </c>
      <c r="D1817" t="n">
        <v>2</v>
      </c>
      <c r="E1817" t="inlineStr">
        <is>
          <t>H0604</t>
        </is>
      </c>
      <c r="F1817" t="inlineStr">
        <is>
          <t>桃園市桃園區峨眉二街16號對面</t>
        </is>
      </c>
      <c r="G1817" t="n">
        <v>25.025056</v>
      </c>
      <c r="H1817" t="n">
        <v>121.311528</v>
      </c>
      <c r="I1817" t="n">
        <v>8</v>
      </c>
      <c r="J1817" t="n">
        <v>4.3</v>
      </c>
      <c r="K1817" t="n">
        <v>42.2</v>
      </c>
      <c r="L1817" t="inlineStr">
        <is>
          <t>Primary</t>
        </is>
      </c>
    </row>
    <row r="1818">
      <c r="A1818" t="n">
        <v>2</v>
      </c>
      <c r="B1818" s="32" t="inlineStr">
        <is>
          <t>S12</t>
        </is>
      </c>
      <c r="C1818" t="inlineStr">
        <is>
          <t>PZ-C</t>
        </is>
      </c>
      <c r="D1818" t="n">
        <v>3</v>
      </c>
      <c r="E1818" t="inlineStr">
        <is>
          <t>H0904</t>
        </is>
      </c>
      <c r="F1818" t="inlineStr">
        <is>
          <t>桃園市蘆竹區大竹北路966之1號-航空城-會合點</t>
        </is>
      </c>
      <c r="G1818" t="n">
        <v>25.047277</v>
      </c>
      <c r="H1818" t="n">
        <v>121.241366</v>
      </c>
      <c r="I1818" t="n">
        <v>8</v>
      </c>
      <c r="J1818" t="n">
        <v>18</v>
      </c>
      <c r="K1818" t="n">
        <v>68.2</v>
      </c>
      <c r="L1818" t="inlineStr">
        <is>
          <t>Primary</t>
        </is>
      </c>
    </row>
    <row r="1819">
      <c r="A1819" t="n">
        <v>2</v>
      </c>
      <c r="B1819" s="32" t="inlineStr">
        <is>
          <t>S12</t>
        </is>
      </c>
      <c r="C1819" t="inlineStr">
        <is>
          <t>PZ-C</t>
        </is>
      </c>
      <c r="D1819" t="n">
        <v>4</v>
      </c>
      <c r="E1819" t="inlineStr">
        <is>
          <t>H0902</t>
        </is>
      </c>
      <c r="F1819" t="inlineStr">
        <is>
          <t>桃園市蘆竹區大竹北路1020號附近25 02 45.97  121 14 49.19-500公尺</t>
        </is>
      </c>
      <c r="G1819" t="n">
        <v>25.049033</v>
      </c>
      <c r="H1819" t="n">
        <v>121.241883</v>
      </c>
      <c r="I1819" t="n">
        <v>16</v>
      </c>
      <c r="J1819" t="n">
        <v>3</v>
      </c>
      <c r="K1819" t="n">
        <v>87.2</v>
      </c>
      <c r="L1819" t="inlineStr">
        <is>
          <t>Primary</t>
        </is>
      </c>
    </row>
    <row r="1820">
      <c r="A1820" t="n">
        <v>2</v>
      </c>
      <c r="B1820" s="32" t="inlineStr">
        <is>
          <t>S12</t>
        </is>
      </c>
      <c r="C1820" t="inlineStr">
        <is>
          <t>PZ-C</t>
        </is>
      </c>
      <c r="D1820" t="n">
        <v>5</v>
      </c>
      <c r="E1820" t="inlineStr">
        <is>
          <t>H0884</t>
        </is>
      </c>
      <c r="F1820" t="inlineStr">
        <is>
          <t>桃園市蘆竹區(大園區)大竹北路1020號-航空城</t>
        </is>
      </c>
      <c r="G1820" t="n">
        <v>25.050044</v>
      </c>
      <c r="H1820" t="n">
        <v>121.240869</v>
      </c>
      <c r="I1820" t="n">
        <v>8</v>
      </c>
      <c r="J1820" t="n">
        <v>3</v>
      </c>
      <c r="K1820" t="n">
        <v>98.2</v>
      </c>
      <c r="L1820" t="inlineStr">
        <is>
          <t>Primary</t>
        </is>
      </c>
    </row>
    <row r="1821">
      <c r="A1821" t="n">
        <v>2</v>
      </c>
      <c r="B1821" s="32" t="inlineStr">
        <is>
          <t>S12</t>
        </is>
      </c>
      <c r="C1821" t="inlineStr">
        <is>
          <t>PZ-C</t>
        </is>
      </c>
      <c r="D1821" t="n">
        <v>6</v>
      </c>
      <c r="E1821" t="inlineStr">
        <is>
          <t>H0901</t>
        </is>
      </c>
      <c r="F1821" t="inlineStr">
        <is>
          <t>桃園市蘆竹區大竹北路1020號25°02'51.5"N 121°14'21.8"E附近</t>
        </is>
      </c>
      <c r="G1821" t="n">
        <v>25.047619</v>
      </c>
      <c r="H1821" t="n">
        <v>121.239372</v>
      </c>
      <c r="I1821" t="n">
        <v>8</v>
      </c>
      <c r="J1821" t="n">
        <v>3</v>
      </c>
      <c r="K1821" t="n">
        <v>109.2</v>
      </c>
      <c r="L1821" t="inlineStr">
        <is>
          <t>Primary</t>
        </is>
      </c>
    </row>
    <row r="1822">
      <c r="A1822" t="n">
        <v>2</v>
      </c>
      <c r="B1822" s="32" t="inlineStr">
        <is>
          <t>S12</t>
        </is>
      </c>
      <c r="C1822" t="inlineStr">
        <is>
          <t>PZ-C</t>
        </is>
      </c>
      <c r="D1822" t="n">
        <v>7</v>
      </c>
      <c r="E1822" t="inlineStr">
        <is>
          <t>J0159</t>
        </is>
      </c>
      <c r="F1822" t="inlineStr">
        <is>
          <t>新竹縣湖口鄉嘉興路一段77號-鈺時代-M區</t>
        </is>
      </c>
      <c r="G1822" t="n">
        <v>24.924892</v>
      </c>
      <c r="H1822" t="n">
        <v>121.055583</v>
      </c>
      <c r="I1822" t="n">
        <v>8</v>
      </c>
      <c r="J1822" t="n">
        <v>23</v>
      </c>
      <c r="K1822" t="n">
        <v>140.2</v>
      </c>
      <c r="L1822" t="inlineStr">
        <is>
          <t>Primary</t>
        </is>
      </c>
    </row>
    <row r="1823">
      <c r="A1823" t="n">
        <v>2</v>
      </c>
      <c r="B1823" s="32" t="inlineStr">
        <is>
          <t>S12</t>
        </is>
      </c>
      <c r="C1823" t="inlineStr">
        <is>
          <t>PZ-C</t>
        </is>
      </c>
      <c r="D1823" t="n">
        <v>8</v>
      </c>
      <c r="E1823" t="inlineStr">
        <is>
          <t>J0161</t>
        </is>
      </c>
      <c r="F1823" t="inlineStr">
        <is>
          <t>新竹縣湖口鄉嘉興路一段-耀時代J區-電聯定位</t>
        </is>
      </c>
      <c r="G1823" t="n">
        <v>24.924361</v>
      </c>
      <c r="H1823" t="n">
        <v>121.055114</v>
      </c>
      <c r="I1823" t="n">
        <v>16</v>
      </c>
      <c r="J1823" t="n">
        <v>2</v>
      </c>
      <c r="K1823" t="n">
        <v>158.2</v>
      </c>
      <c r="L1823" t="inlineStr">
        <is>
          <t>Primary</t>
        </is>
      </c>
    </row>
    <row r="1824">
      <c r="A1824" t="n">
        <v>2</v>
      </c>
      <c r="B1824" s="32" t="inlineStr">
        <is>
          <t>S12</t>
        </is>
      </c>
      <c r="C1824" t="inlineStr">
        <is>
          <t>PZ-C</t>
        </is>
      </c>
      <c r="D1824" t="n">
        <v>9</v>
      </c>
      <c r="E1824" t="inlineStr">
        <is>
          <t>J0165</t>
        </is>
      </c>
      <c r="F1824" t="inlineStr">
        <is>
          <t>新竹縣湖口鄉德興路275號(中科帝苑內)</t>
        </is>
      </c>
      <c r="G1824" t="n">
        <v>24.913878</v>
      </c>
      <c r="H1824" t="n">
        <v>121.042808</v>
      </c>
      <c r="I1824" t="n">
        <v>16</v>
      </c>
      <c r="J1824" t="n">
        <v>4.1</v>
      </c>
      <c r="K1824" t="n">
        <v>178.3</v>
      </c>
      <c r="L1824" t="inlineStr">
        <is>
          <t>Primary</t>
        </is>
      </c>
    </row>
    <row r="1825">
      <c r="A1825" t="n">
        <v>2</v>
      </c>
      <c r="B1825" s="32" t="inlineStr">
        <is>
          <t>S12</t>
        </is>
      </c>
      <c r="C1825" t="inlineStr">
        <is>
          <t>PZ-C</t>
        </is>
      </c>
      <c r="D1825" t="n">
        <v>10</v>
      </c>
      <c r="E1825" t="inlineStr">
        <is>
          <t>J0148</t>
        </is>
      </c>
      <c r="F1825" t="inlineStr">
        <is>
          <t>新竹縣湖口鄉信義街98號旁工地-工務所-9F</t>
        </is>
      </c>
      <c r="G1825" t="n">
        <v>24.906731</v>
      </c>
      <c r="H1825" t="n">
        <v>121.048819</v>
      </c>
      <c r="I1825" t="n">
        <v>16</v>
      </c>
      <c r="J1825" t="n">
        <v>3</v>
      </c>
      <c r="K1825" t="n">
        <v>197.3</v>
      </c>
      <c r="L1825" t="inlineStr">
        <is>
          <t>Primary</t>
        </is>
      </c>
    </row>
    <row r="1826">
      <c r="A1826" t="n">
        <v>2</v>
      </c>
      <c r="B1826" s="32" t="inlineStr">
        <is>
          <t>S12</t>
        </is>
      </c>
      <c r="C1826" t="inlineStr">
        <is>
          <t>PZ-C</t>
        </is>
      </c>
      <c r="D1826" t="n">
        <v>11</v>
      </c>
      <c r="E1826" t="inlineStr">
        <is>
          <t>J0142</t>
        </is>
      </c>
      <c r="F1826" t="inlineStr">
        <is>
          <t>新竹縣湖口鄉忠孝路7號</t>
        </is>
      </c>
      <c r="G1826" t="n">
        <v>24.901397</v>
      </c>
      <c r="H1826" t="n">
        <v>121.044158</v>
      </c>
      <c r="I1826" t="n">
        <v>8</v>
      </c>
      <c r="J1826" t="n">
        <v>3</v>
      </c>
      <c r="K1826" t="n">
        <v>208.3</v>
      </c>
      <c r="L1826" t="inlineStr">
        <is>
          <t>Primary</t>
        </is>
      </c>
    </row>
    <row r="1827">
      <c r="A1827" t="n">
        <v>2</v>
      </c>
      <c r="B1827" s="32" t="inlineStr">
        <is>
          <t>S12</t>
        </is>
      </c>
      <c r="C1827" t="inlineStr">
        <is>
          <t>PZ-C</t>
        </is>
      </c>
      <c r="D1827" t="n">
        <v>12</v>
      </c>
      <c r="E1827" t="inlineStr">
        <is>
          <t>J0166</t>
        </is>
      </c>
      <c r="F1827" t="inlineStr">
        <is>
          <t>新竹縣湖口鄉龍江街38號-附地標-前半小時電聯</t>
        </is>
      </c>
      <c r="G1827" t="n">
        <v>24.903556</v>
      </c>
      <c r="H1827" t="n">
        <v>121.04145</v>
      </c>
      <c r="I1827" t="n">
        <v>8</v>
      </c>
      <c r="J1827" t="n">
        <v>3</v>
      </c>
      <c r="K1827" t="n">
        <v>219.3</v>
      </c>
      <c r="L1827" t="inlineStr">
        <is>
          <t>Primary</t>
        </is>
      </c>
    </row>
    <row r="1828">
      <c r="A1828" t="n">
        <v>2</v>
      </c>
      <c r="B1828" s="32" t="inlineStr">
        <is>
          <t>S12</t>
        </is>
      </c>
      <c r="C1828" t="inlineStr">
        <is>
          <t>PZ-C</t>
        </is>
      </c>
      <c r="D1828" t="n">
        <v>13</v>
      </c>
      <c r="E1828" t="inlineStr">
        <is>
          <t>J0138</t>
        </is>
      </c>
      <c r="F1828" t="inlineStr">
        <is>
          <t>新竹縣湖口鄉成功路454巷45弄17號對面</t>
        </is>
      </c>
      <c r="G1828" t="n">
        <v>24.897577</v>
      </c>
      <c r="H1828" t="n">
        <v>121.03515</v>
      </c>
      <c r="I1828" t="n">
        <v>8</v>
      </c>
      <c r="J1828" t="n">
        <v>3</v>
      </c>
      <c r="K1828" t="n">
        <v>230.3</v>
      </c>
      <c r="L1828" t="inlineStr">
        <is>
          <t>Primary</t>
        </is>
      </c>
    </row>
    <row r="1829">
      <c r="A1829" t="n">
        <v>2</v>
      </c>
      <c r="B1829" s="32" t="inlineStr">
        <is>
          <t>S12</t>
        </is>
      </c>
      <c r="C1829" t="inlineStr">
        <is>
          <t>PZ-C</t>
        </is>
      </c>
      <c r="D1829" t="n">
        <v>14</v>
      </c>
      <c r="E1829" t="inlineStr">
        <is>
          <t>J0125</t>
        </is>
      </c>
      <c r="F1829" t="inlineStr">
        <is>
          <t>新竹縣湖口鄉中山二街168號對面</t>
        </is>
      </c>
      <c r="G1829" t="n">
        <v>24.8941705</v>
      </c>
      <c r="H1829" t="n">
        <v>121.0397395</v>
      </c>
      <c r="I1829" t="n">
        <v>16</v>
      </c>
      <c r="J1829" t="n">
        <v>3</v>
      </c>
      <c r="K1829" t="n">
        <v>249.3</v>
      </c>
      <c r="L1829" t="inlineStr">
        <is>
          <t>Primary</t>
        </is>
      </c>
    </row>
    <row r="1830">
      <c r="A1830" t="n">
        <v>2</v>
      </c>
      <c r="B1830" s="32" t="inlineStr">
        <is>
          <t>S12</t>
        </is>
      </c>
      <c r="C1830" t="inlineStr">
        <is>
          <t>PZ-C</t>
        </is>
      </c>
      <c r="D1830" t="n">
        <v>15</v>
      </c>
      <c r="E1830" t="inlineStr">
        <is>
          <t>J0157</t>
        </is>
      </c>
      <c r="F1830" t="inlineStr">
        <is>
          <t>新竹縣湖口鄉達生八街567號隔壁</t>
        </is>
      </c>
      <c r="G1830" t="n">
        <v>24.892536</v>
      </c>
      <c r="H1830" t="n">
        <v>121.042402</v>
      </c>
      <c r="I1830" t="n">
        <v>8</v>
      </c>
      <c r="J1830" t="n">
        <v>3</v>
      </c>
      <c r="K1830" t="n">
        <v>260.3</v>
      </c>
      <c r="L1830" t="inlineStr">
        <is>
          <t>Primary</t>
        </is>
      </c>
    </row>
    <row r="1831">
      <c r="A1831" t="n">
        <v>2</v>
      </c>
      <c r="B1831" s="32" t="inlineStr">
        <is>
          <t>S12</t>
        </is>
      </c>
      <c r="C1831" t="inlineStr">
        <is>
          <t>PZ-C</t>
        </is>
      </c>
      <c r="D1831" t="n">
        <v>16</v>
      </c>
      <c r="E1831" t="inlineStr">
        <is>
          <t>J0156</t>
        </is>
      </c>
      <c r="F1831" t="inlineStr">
        <is>
          <t>新竹縣湖口鄉達生二街&amp;中正七街-全家便利商店旁</t>
        </is>
      </c>
      <c r="G1831" t="n">
        <v>24.895289</v>
      </c>
      <c r="H1831" t="n">
        <v>121.043416</v>
      </c>
      <c r="I1831" t="n">
        <v>8</v>
      </c>
      <c r="J1831" t="n">
        <v>3</v>
      </c>
      <c r="K1831" t="n">
        <v>271.3</v>
      </c>
      <c r="L1831" t="inlineStr">
        <is>
          <t>Primary</t>
        </is>
      </c>
    </row>
    <row r="1832">
      <c r="A1832" t="n">
        <v>2</v>
      </c>
      <c r="B1832" s="32" t="inlineStr">
        <is>
          <t>S12</t>
        </is>
      </c>
      <c r="C1832" t="inlineStr">
        <is>
          <t>PZ-C</t>
        </is>
      </c>
      <c r="D1832" t="n">
        <v>17</v>
      </c>
      <c r="E1832" t="inlineStr">
        <is>
          <t>J0139</t>
        </is>
      </c>
      <c r="F1832" t="inlineStr">
        <is>
          <t>新竹縣湖口鄉成功路614巷275號</t>
        </is>
      </c>
      <c r="G1832" t="n">
        <v>24.897908</v>
      </c>
      <c r="H1832" t="n">
        <v>121.026339</v>
      </c>
      <c r="I1832" t="n">
        <v>8</v>
      </c>
      <c r="J1832" t="n">
        <v>4.2</v>
      </c>
      <c r="K1832" t="n">
        <v>283.5</v>
      </c>
      <c r="L1832" t="inlineStr">
        <is>
          <t>Primary</t>
        </is>
      </c>
    </row>
    <row r="1833">
      <c r="A1833" t="n">
        <v>2</v>
      </c>
      <c r="B1833" s="32" t="inlineStr">
        <is>
          <t>S12</t>
        </is>
      </c>
      <c r="C1833" t="inlineStr">
        <is>
          <t>PZ-C</t>
        </is>
      </c>
      <c r="D1833" t="n">
        <v>18</v>
      </c>
      <c r="E1833" t="inlineStr">
        <is>
          <t>J0185</t>
        </is>
      </c>
      <c r="F1833" t="inlineStr">
        <is>
          <t>新竹縣新豐鄉中崙村290號-欣興電子新豐廠</t>
        </is>
      </c>
      <c r="G1833" t="n">
        <v>24.886186</v>
      </c>
      <c r="H1833" t="n">
        <v>121.008461</v>
      </c>
      <c r="I1833" t="n">
        <v>16</v>
      </c>
      <c r="J1833" t="n">
        <v>5.3</v>
      </c>
      <c r="K1833" t="n">
        <v>304.8</v>
      </c>
      <c r="L1833" t="inlineStr">
        <is>
          <t>Primary</t>
        </is>
      </c>
    </row>
    <row r="1834">
      <c r="A1834" t="n">
        <v>2</v>
      </c>
      <c r="B1834" s="32" t="inlineStr">
        <is>
          <t>S12</t>
        </is>
      </c>
      <c r="C1834" t="inlineStr">
        <is>
          <t>PZ-C</t>
        </is>
      </c>
      <c r="D1834" t="n">
        <v>19</v>
      </c>
      <c r="E1834" t="inlineStr">
        <is>
          <t>J0182</t>
        </is>
      </c>
      <c r="F1834" t="inlineStr">
        <is>
          <t>新竹縣新豐鄉24°53'09.1"N 121°00'12.7"E-新豐鄉綠景莊園</t>
        </is>
      </c>
      <c r="G1834" t="n">
        <v>24.885283</v>
      </c>
      <c r="H1834" t="n">
        <v>121.002425</v>
      </c>
      <c r="I1834" t="n">
        <v>8</v>
      </c>
      <c r="J1834" t="n">
        <v>3</v>
      </c>
      <c r="K1834" t="n">
        <v>315.8</v>
      </c>
      <c r="L1834" t="inlineStr">
        <is>
          <t>Primary</t>
        </is>
      </c>
    </row>
    <row r="1835">
      <c r="A1835" t="n">
        <v>2</v>
      </c>
      <c r="B1835" s="32" t="inlineStr">
        <is>
          <t>S12</t>
        </is>
      </c>
      <c r="C1835" t="inlineStr">
        <is>
          <t>PZ-C</t>
        </is>
      </c>
      <c r="D1835" t="n">
        <v>20</v>
      </c>
      <c r="E1835" t="inlineStr">
        <is>
          <t>J0131</t>
        </is>
      </c>
      <c r="F1835" t="inlineStr">
        <is>
          <t>新竹縣湖口鄉中華路23號</t>
        </is>
      </c>
      <c r="G1835" t="n">
        <v>24.873956</v>
      </c>
      <c r="H1835" t="n">
        <v>121.010297</v>
      </c>
      <c r="I1835" t="n">
        <v>8</v>
      </c>
      <c r="J1835" t="n">
        <v>3.6</v>
      </c>
      <c r="K1835" t="n">
        <v>327.4</v>
      </c>
      <c r="L1835" t="inlineStr">
        <is>
          <t>Primary</t>
        </is>
      </c>
    </row>
    <row r="1836">
      <c r="A1836" t="n">
        <v>2</v>
      </c>
      <c r="B1836" s="32" t="inlineStr">
        <is>
          <t>S12</t>
        </is>
      </c>
      <c r="C1836" t="inlineStr">
        <is>
          <t>PZ-C</t>
        </is>
      </c>
      <c r="D1836" t="n">
        <v>21</v>
      </c>
      <c r="E1836" t="inlineStr">
        <is>
          <t>J0129</t>
        </is>
      </c>
      <c r="F1836" t="inlineStr">
        <is>
          <t>新竹縣湖口鄉中華路14號-新竹客運正對面</t>
        </is>
      </c>
      <c r="G1836" t="n">
        <v>24.869067</v>
      </c>
      <c r="H1836" t="n">
        <v>121.007719</v>
      </c>
      <c r="I1836" t="n">
        <v>8</v>
      </c>
      <c r="J1836" t="n">
        <v>3</v>
      </c>
      <c r="K1836" t="n">
        <v>338.4</v>
      </c>
      <c r="L1836" t="inlineStr">
        <is>
          <t>Primary</t>
        </is>
      </c>
    </row>
    <row r="1837">
      <c r="A1837" t="n">
        <v>2</v>
      </c>
      <c r="B1837" s="32" t="inlineStr">
        <is>
          <t>S12</t>
        </is>
      </c>
      <c r="C1837" t="inlineStr">
        <is>
          <t>PZ-C</t>
        </is>
      </c>
      <c r="D1837" t="n">
        <v>22</v>
      </c>
      <c r="E1837" t="inlineStr">
        <is>
          <t>J0120</t>
        </is>
      </c>
      <c r="F1837" t="inlineStr">
        <is>
          <t>新竹縣湖口鄉大同路21號</t>
        </is>
      </c>
      <c r="G1837" t="n">
        <v>24.871509</v>
      </c>
      <c r="H1837" t="n">
        <v>121.00055</v>
      </c>
      <c r="I1837" t="n">
        <v>8</v>
      </c>
      <c r="J1837" t="n">
        <v>3</v>
      </c>
      <c r="K1837" t="n">
        <v>349.4</v>
      </c>
      <c r="L1837" t="inlineStr">
        <is>
          <t>Primary</t>
        </is>
      </c>
    </row>
    <row r="1838">
      <c r="A1838" t="n">
        <v>2</v>
      </c>
      <c r="B1838" s="32" t="inlineStr">
        <is>
          <t>S12</t>
        </is>
      </c>
      <c r="C1838" t="inlineStr">
        <is>
          <t>PZ-C</t>
        </is>
      </c>
      <c r="D1838" t="n">
        <v>23</v>
      </c>
      <c r="E1838" t="inlineStr">
        <is>
          <t>J0140</t>
        </is>
      </c>
      <c r="F1838" t="inlineStr">
        <is>
          <t>新竹縣湖口鄉自強路16號</t>
        </is>
      </c>
      <c r="G1838" t="n">
        <v>24.868361</v>
      </c>
      <c r="H1838" t="n">
        <v>120.997594</v>
      </c>
      <c r="I1838" t="n">
        <v>16</v>
      </c>
      <c r="J1838" t="n">
        <v>3</v>
      </c>
      <c r="K1838" t="n">
        <v>368.4</v>
      </c>
      <c r="L1838" t="inlineStr">
        <is>
          <t>Primary</t>
        </is>
      </c>
    </row>
    <row r="1839">
      <c r="A1839" t="n">
        <v>2</v>
      </c>
      <c r="B1839" s="32" t="inlineStr">
        <is>
          <t>S12</t>
        </is>
      </c>
      <c r="C1839" t="inlineStr">
        <is>
          <t>PZ-C</t>
        </is>
      </c>
      <c r="D1839" t="n">
        <v>24</v>
      </c>
      <c r="E1839" t="inlineStr">
        <is>
          <t>J0141</t>
        </is>
      </c>
      <c r="F1839" t="inlineStr">
        <is>
          <t>新竹縣湖口鄉自強路16號-近新豐火車站</t>
        </is>
      </c>
      <c r="G1839" t="n">
        <v>24.868528</v>
      </c>
      <c r="H1839" t="n">
        <v>120.997375</v>
      </c>
      <c r="I1839" t="n">
        <v>8</v>
      </c>
      <c r="J1839" t="n">
        <v>2</v>
      </c>
      <c r="K1839" t="n">
        <v>378.4</v>
      </c>
      <c r="L1839" t="inlineStr">
        <is>
          <t>Primary</t>
        </is>
      </c>
    </row>
    <row r="1840">
      <c r="A1840" t="n">
        <v>2</v>
      </c>
      <c r="B1840" s="32" t="inlineStr">
        <is>
          <t>S12</t>
        </is>
      </c>
      <c r="C1840" t="inlineStr">
        <is>
          <t>PZ-C</t>
        </is>
      </c>
      <c r="D1840" t="n">
        <v>25</v>
      </c>
      <c r="E1840" t="inlineStr">
        <is>
          <t>J0121</t>
        </is>
      </c>
      <c r="F1840" t="inlineStr">
        <is>
          <t>新竹縣湖口鄉大同路4號對面</t>
        </is>
      </c>
      <c r="G1840" t="n">
        <v>24.868061</v>
      </c>
      <c r="H1840" t="n">
        <v>120.996811</v>
      </c>
      <c r="I1840" t="n">
        <v>24</v>
      </c>
      <c r="J1840" t="n">
        <v>2</v>
      </c>
      <c r="K1840" t="n">
        <v>404.4</v>
      </c>
      <c r="L1840" t="inlineStr">
        <is>
          <t>Primary</t>
        </is>
      </c>
    </row>
    <row r="1841">
      <c r="A1841" t="n">
        <v>2</v>
      </c>
      <c r="B1841" s="32" t="inlineStr">
        <is>
          <t>S12</t>
        </is>
      </c>
      <c r="C1841" t="inlineStr">
        <is>
          <t>PZ-C</t>
        </is>
      </c>
      <c r="D1841" t="n">
        <v>26</v>
      </c>
      <c r="E1841" t="inlineStr">
        <is>
          <t>J0122</t>
        </is>
      </c>
      <c r="F1841" t="inlineStr">
        <is>
          <t>新竹縣湖口鄉大同路4號對面-3F</t>
        </is>
      </c>
      <c r="G1841" t="n">
        <v>24.868061</v>
      </c>
      <c r="H1841" t="n">
        <v>120.996811</v>
      </c>
      <c r="I1841" t="n">
        <v>16</v>
      </c>
      <c r="J1841" t="n">
        <v>2</v>
      </c>
      <c r="K1841" t="n">
        <v>422.4</v>
      </c>
      <c r="L1841" t="inlineStr">
        <is>
          <t>Primary</t>
        </is>
      </c>
    </row>
    <row r="1842">
      <c r="A1842" t="n">
        <v>2</v>
      </c>
      <c r="B1842" s="32" t="inlineStr">
        <is>
          <t>S12</t>
        </is>
      </c>
      <c r="C1842" t="inlineStr">
        <is>
          <t>PZ-C</t>
        </is>
      </c>
      <c r="D1842" t="n">
        <v>27</v>
      </c>
      <c r="E1842" t="inlineStr">
        <is>
          <t>J0123</t>
        </is>
      </c>
      <c r="F1842" t="inlineStr">
        <is>
          <t>新竹縣湖口鄉大同路4號對面-6F</t>
        </is>
      </c>
      <c r="G1842" t="n">
        <v>24.868061</v>
      </c>
      <c r="H1842" t="n">
        <v>120.996811</v>
      </c>
      <c r="I1842" t="n">
        <v>16</v>
      </c>
      <c r="J1842" t="n">
        <v>2</v>
      </c>
      <c r="K1842" t="n">
        <v>440.4</v>
      </c>
      <c r="L1842" t="inlineStr">
        <is>
          <t>Primary</t>
        </is>
      </c>
    </row>
    <row r="1843">
      <c r="A1843" t="n">
        <v>2</v>
      </c>
      <c r="B1843" s="32" t="inlineStr">
        <is>
          <t>S12</t>
        </is>
      </c>
      <c r="C1843" t="inlineStr">
        <is>
          <t>PZ-C</t>
        </is>
      </c>
      <c r="D1843" t="n">
        <v>28</v>
      </c>
      <c r="E1843" t="inlineStr">
        <is>
          <t>J0124</t>
        </is>
      </c>
      <c r="F1843" t="inlineStr">
        <is>
          <t>新竹縣湖口鄉大同路4號對面-9F</t>
        </is>
      </c>
      <c r="G1843" t="n">
        <v>24.868145</v>
      </c>
      <c r="H1843" t="n">
        <v>120.996191</v>
      </c>
      <c r="I1843" t="n">
        <v>16</v>
      </c>
      <c r="J1843" t="n">
        <v>2</v>
      </c>
      <c r="K1843" t="n">
        <v>458.4</v>
      </c>
      <c r="L1843" t="inlineStr">
        <is>
          <t>Primary</t>
        </is>
      </c>
    </row>
    <row r="1844">
      <c r="A1844" t="n">
        <v>2</v>
      </c>
      <c r="B1844" s="32" t="inlineStr">
        <is>
          <t>S12</t>
        </is>
      </c>
      <c r="C1844" t="inlineStr">
        <is>
          <t>PZ-C</t>
        </is>
      </c>
      <c r="D1844" t="n">
        <v>29</v>
      </c>
      <c r="E1844" t="inlineStr">
        <is>
          <t>J0117</t>
        </is>
      </c>
      <c r="F1844" t="inlineStr">
        <is>
          <t>新竹縣湖口鄉三民一路87號</t>
        </is>
      </c>
      <c r="G1844" t="n">
        <v>24.866311</v>
      </c>
      <c r="H1844" t="n">
        <v>120.995041</v>
      </c>
      <c r="I1844" t="n">
        <v>8</v>
      </c>
      <c r="J1844" t="n">
        <v>3</v>
      </c>
      <c r="K1844" t="n">
        <v>469.4</v>
      </c>
      <c r="L1844" t="inlineStr">
        <is>
          <t>Primary</t>
        </is>
      </c>
    </row>
    <row r="1845">
      <c r="A1845" t="n">
        <v>2</v>
      </c>
      <c r="B1845" s="32" t="inlineStr">
        <is>
          <t>S12</t>
        </is>
      </c>
      <c r="C1845" t="inlineStr">
        <is>
          <t>PZ-C</t>
        </is>
      </c>
      <c r="D1845" t="n">
        <v>30</v>
      </c>
      <c r="E1845" t="inlineStr">
        <is>
          <t>J0118</t>
        </is>
      </c>
      <c r="F1845" t="inlineStr">
        <is>
          <t>新竹縣湖口鄉三民南路162號</t>
        </is>
      </c>
      <c r="G1845" t="n">
        <v>24.865636</v>
      </c>
      <c r="H1845" t="n">
        <v>120.996605</v>
      </c>
      <c r="I1845" t="n">
        <v>8</v>
      </c>
      <c r="J1845" t="n">
        <v>3</v>
      </c>
      <c r="K1845" t="n">
        <v>480.4</v>
      </c>
      <c r="L1845" t="inlineStr">
        <is>
          <t>Primary</t>
        </is>
      </c>
    </row>
    <row r="1846">
      <c r="A1846" t="n">
        <v>2</v>
      </c>
      <c r="B1846" s="32" t="inlineStr">
        <is>
          <t>S12</t>
        </is>
      </c>
      <c r="C1846" t="inlineStr">
        <is>
          <t>PZ-C</t>
        </is>
      </c>
      <c r="D1846" t="n">
        <v>31</v>
      </c>
      <c r="E1846" t="inlineStr">
        <is>
          <t>J0163</t>
        </is>
      </c>
      <c r="F1846" t="inlineStr">
        <is>
          <t>新竹縣湖口鄉鳳工二街86號</t>
        </is>
      </c>
      <c r="G1846" t="n">
        <v>24.861622</v>
      </c>
      <c r="H1846" t="n">
        <v>121.000925</v>
      </c>
      <c r="I1846" t="n">
        <v>8</v>
      </c>
      <c r="J1846" t="n">
        <v>3</v>
      </c>
      <c r="K1846" t="n">
        <v>491.4</v>
      </c>
      <c r="L1846" t="inlineStr">
        <is>
          <t>Primary</t>
        </is>
      </c>
    </row>
    <row r="1847">
      <c r="A1847" t="n">
        <v>2</v>
      </c>
      <c r="B1847" s="32" t="inlineStr">
        <is>
          <t>S12</t>
        </is>
      </c>
      <c r="C1847" t="inlineStr">
        <is>
          <t>PZ-C</t>
        </is>
      </c>
      <c r="D1847" t="n">
        <v>32</v>
      </c>
      <c r="E1847" t="inlineStr">
        <is>
          <t>J0130</t>
        </is>
      </c>
      <c r="F1847" t="inlineStr">
        <is>
          <t>新竹縣湖口鄉中華路1號旁</t>
        </is>
      </c>
      <c r="G1847" t="n">
        <v>24.862175</v>
      </c>
      <c r="H1847" t="n">
        <v>121.002811</v>
      </c>
      <c r="I1847" t="n">
        <v>16</v>
      </c>
      <c r="J1847" t="n">
        <v>3</v>
      </c>
      <c r="K1847" t="n">
        <v>510.4</v>
      </c>
      <c r="L1847" t="inlineStr">
        <is>
          <t>Primary</t>
        </is>
      </c>
    </row>
    <row r="1848">
      <c r="A1848" t="n">
        <v>3</v>
      </c>
      <c r="B1848" s="32" t="inlineStr">
        <is>
          <t>S12</t>
        </is>
      </c>
      <c r="C1848" t="inlineStr">
        <is>
          <t>PZ-C</t>
        </is>
      </c>
      <c r="D1848" t="n">
        <v>1</v>
      </c>
      <c r="E1848" t="inlineStr">
        <is>
          <t>J0176</t>
        </is>
      </c>
      <c r="F1848" t="inlineStr">
        <is>
          <t>新竹縣新埔鎮新龍路98巷33弄10號  （旭源工廠）</t>
        </is>
      </c>
      <c r="G1848" t="n">
        <v>24.83743</v>
      </c>
      <c r="H1848" t="n">
        <v>121.102417</v>
      </c>
      <c r="I1848" t="n">
        <v>8</v>
      </c>
      <c r="J1848" t="n">
        <v>14.7</v>
      </c>
      <c r="K1848" t="n">
        <v>22.7</v>
      </c>
      <c r="L1848" t="inlineStr">
        <is>
          <t>Primary</t>
        </is>
      </c>
    </row>
    <row r="1849">
      <c r="A1849" t="n">
        <v>3</v>
      </c>
      <c r="B1849" s="32" t="inlineStr">
        <is>
          <t>S12</t>
        </is>
      </c>
      <c r="C1849" t="inlineStr">
        <is>
          <t>PZ-C</t>
        </is>
      </c>
      <c r="D1849" t="n">
        <v>2</v>
      </c>
      <c r="E1849" t="inlineStr">
        <is>
          <t>J0175</t>
        </is>
      </c>
      <c r="F1849" t="inlineStr">
        <is>
          <t>新竹縣新埔鎮南蛇崎道路-附座標</t>
        </is>
      </c>
      <c r="G1849" t="n">
        <v>24.854942</v>
      </c>
      <c r="H1849" t="n">
        <v>121.08047</v>
      </c>
      <c r="I1849" t="n">
        <v>8</v>
      </c>
      <c r="J1849" t="n">
        <v>7.1</v>
      </c>
      <c r="K1849" t="n">
        <v>37.8</v>
      </c>
      <c r="L1849" t="inlineStr">
        <is>
          <t>Primary</t>
        </is>
      </c>
    </row>
    <row r="1850">
      <c r="A1850" t="n">
        <v>3</v>
      </c>
      <c r="B1850" s="32" t="inlineStr">
        <is>
          <t>S12</t>
        </is>
      </c>
      <c r="C1850" t="inlineStr">
        <is>
          <t>PZ-C</t>
        </is>
      </c>
      <c r="D1850" t="n">
        <v>3</v>
      </c>
      <c r="E1850" t="inlineStr">
        <is>
          <t>J0153</t>
        </is>
      </c>
      <c r="F1850" t="inlineStr">
        <is>
          <t>新竹縣湖口鄉湖口營區忠誠門-附座標</t>
        </is>
      </c>
      <c r="G1850" t="n">
        <v>24.870342</v>
      </c>
      <c r="H1850" t="n">
        <v>121.0544135</v>
      </c>
      <c r="I1850" t="n">
        <v>32</v>
      </c>
      <c r="J1850" t="n">
        <v>7.5</v>
      </c>
      <c r="K1850" t="n">
        <v>77.3</v>
      </c>
      <c r="L1850" t="inlineStr">
        <is>
          <t>Primary</t>
        </is>
      </c>
    </row>
    <row r="1851">
      <c r="A1851" t="n">
        <v>3</v>
      </c>
      <c r="B1851" s="32" t="inlineStr">
        <is>
          <t>S12</t>
        </is>
      </c>
      <c r="C1851" t="inlineStr">
        <is>
          <t>PZ-C</t>
        </is>
      </c>
      <c r="D1851" t="n">
        <v>4</v>
      </c>
      <c r="E1851" t="inlineStr">
        <is>
          <t>J0154</t>
        </is>
      </c>
      <c r="F1851" t="inlineStr">
        <is>
          <t>新竹縣湖口鄉湖中路&amp;長富路二段</t>
        </is>
      </c>
      <c r="G1851" t="n">
        <v>24.88385</v>
      </c>
      <c r="H1851" t="n">
        <v>121.059478</v>
      </c>
      <c r="I1851" t="n">
        <v>8</v>
      </c>
      <c r="J1851" t="n">
        <v>3.8</v>
      </c>
      <c r="K1851" t="n">
        <v>89.09999999999999</v>
      </c>
      <c r="L1851" t="inlineStr">
        <is>
          <t>Primary</t>
        </is>
      </c>
    </row>
    <row r="1852">
      <c r="A1852" t="n">
        <v>3</v>
      </c>
      <c r="B1852" s="32" t="inlineStr">
        <is>
          <t>S12</t>
        </is>
      </c>
      <c r="C1852" t="inlineStr">
        <is>
          <t>PZ-C</t>
        </is>
      </c>
      <c r="D1852" t="n">
        <v>5</v>
      </c>
      <c r="E1852" t="inlineStr">
        <is>
          <t>J0151</t>
        </is>
      </c>
      <c r="F1852" t="inlineStr">
        <is>
          <t>新竹縣湖口鄉勝利路2段350號(湖口營區)</t>
        </is>
      </c>
      <c r="G1852" t="n">
        <v>24.86955599999999</v>
      </c>
      <c r="H1852" t="n">
        <v>121.0365270000001</v>
      </c>
      <c r="I1852" t="n">
        <v>208</v>
      </c>
      <c r="J1852" t="n">
        <v>6.7</v>
      </c>
      <c r="K1852" t="n">
        <v>303.9</v>
      </c>
      <c r="L1852" t="inlineStr">
        <is>
          <t>Primary</t>
        </is>
      </c>
    </row>
    <row r="1853">
      <c r="A1853" t="n">
        <v>3</v>
      </c>
      <c r="B1853" s="32" t="inlineStr">
        <is>
          <t>S12</t>
        </is>
      </c>
      <c r="C1853" t="inlineStr">
        <is>
          <t>PZ-C</t>
        </is>
      </c>
      <c r="D1853" t="n">
        <v>6</v>
      </c>
      <c r="E1853" t="inlineStr">
        <is>
          <t>J0151</t>
        </is>
      </c>
      <c r="F1853" t="inlineStr">
        <is>
          <t>新竹縣湖口鄉勝利路2段350號(湖口營區)</t>
        </is>
      </c>
      <c r="G1853" t="n">
        <v>24.8602098</v>
      </c>
      <c r="H1853" t="n">
        <v>121.0275424</v>
      </c>
      <c r="I1853" t="n">
        <v>208</v>
      </c>
      <c r="J1853" t="n">
        <v>3.3</v>
      </c>
      <c r="K1853" t="n">
        <v>515.2</v>
      </c>
      <c r="L1853" t="inlineStr">
        <is>
          <t>Primary</t>
        </is>
      </c>
    </row>
    <row r="1854">
      <c r="A1854" t="n">
        <v>4</v>
      </c>
      <c r="B1854" s="32" t="inlineStr">
        <is>
          <t>S12</t>
        </is>
      </c>
      <c r="C1854" t="inlineStr">
        <is>
          <t>PZ-C</t>
        </is>
      </c>
      <c r="D1854" t="n">
        <v>1</v>
      </c>
      <c r="E1854" t="inlineStr">
        <is>
          <t>J0029</t>
        </is>
      </c>
      <c r="F1854" t="inlineStr">
        <is>
          <t>新竹縣竹北市東海一街附近350公尺圍籬內警衛亭旁-電聯</t>
        </is>
      </c>
      <c r="G1854" t="n">
        <v>24.814239</v>
      </c>
      <c r="H1854" t="n">
        <v>121.052375</v>
      </c>
      <c r="I1854" t="n">
        <v>8</v>
      </c>
      <c r="J1854" t="n">
        <v>20.4</v>
      </c>
      <c r="K1854" t="n">
        <v>28.4</v>
      </c>
      <c r="L1854" t="inlineStr">
        <is>
          <t>Primary</t>
        </is>
      </c>
    </row>
    <row r="1855">
      <c r="A1855" t="n">
        <v>4</v>
      </c>
      <c r="B1855" s="32" t="inlineStr">
        <is>
          <t>S12</t>
        </is>
      </c>
      <c r="C1855" t="inlineStr">
        <is>
          <t>PZ-C</t>
        </is>
      </c>
      <c r="D1855" t="n">
        <v>2</v>
      </c>
      <c r="E1855" t="inlineStr">
        <is>
          <t>J0037</t>
        </is>
      </c>
      <c r="F1855" t="inlineStr">
        <is>
          <t>新竹縣竹北市高鐵七路&amp;&amp;光明六路東二段(高鐵前)</t>
        </is>
      </c>
      <c r="G1855" t="n">
        <v>24.809909</v>
      </c>
      <c r="H1855" t="n">
        <v>121.0419946666667</v>
      </c>
      <c r="I1855" t="n">
        <v>24</v>
      </c>
      <c r="J1855" t="n">
        <v>3</v>
      </c>
      <c r="K1855" t="n">
        <v>55.4</v>
      </c>
      <c r="L1855" t="inlineStr">
        <is>
          <t>Primary</t>
        </is>
      </c>
    </row>
    <row r="1856">
      <c r="A1856" t="n">
        <v>4</v>
      </c>
      <c r="B1856" s="32" t="inlineStr">
        <is>
          <t>S12</t>
        </is>
      </c>
      <c r="C1856" t="inlineStr">
        <is>
          <t>PZ-C</t>
        </is>
      </c>
      <c r="D1856" t="n">
        <v>3</v>
      </c>
      <c r="E1856" t="inlineStr">
        <is>
          <t>J0040</t>
        </is>
      </c>
      <c r="F1856" t="inlineStr">
        <is>
          <t>新竹縣竹北市高鐵八路(十三甲伯公廟旁工地)</t>
        </is>
      </c>
      <c r="G1856" t="n">
        <v>24.80817933333333</v>
      </c>
      <c r="H1856" t="n">
        <v>121.0421003333333</v>
      </c>
      <c r="I1856" t="n">
        <v>96</v>
      </c>
      <c r="J1856" t="n">
        <v>3</v>
      </c>
      <c r="K1856" t="n">
        <v>154.4</v>
      </c>
      <c r="L1856" t="inlineStr">
        <is>
          <t>Primary</t>
        </is>
      </c>
    </row>
    <row r="1857">
      <c r="A1857" t="n">
        <v>4</v>
      </c>
      <c r="B1857" s="32" t="inlineStr">
        <is>
          <t>S12</t>
        </is>
      </c>
      <c r="C1857" t="inlineStr">
        <is>
          <t>PZ-C</t>
        </is>
      </c>
      <c r="D1857" t="n">
        <v>4</v>
      </c>
      <c r="E1857" t="inlineStr">
        <is>
          <t>J0040</t>
        </is>
      </c>
      <c r="F1857" t="inlineStr">
        <is>
          <t>新竹縣竹北市高鐵八路(十三甲伯公廟旁工地)</t>
        </is>
      </c>
      <c r="G1857" t="n">
        <v>24.8076105</v>
      </c>
      <c r="H1857" t="n">
        <v>121.0420981</v>
      </c>
      <c r="I1857" t="n">
        <v>96</v>
      </c>
      <c r="J1857" t="n">
        <v>2</v>
      </c>
      <c r="K1857" t="n">
        <v>252.4</v>
      </c>
      <c r="L1857" t="inlineStr">
        <is>
          <t>Primary</t>
        </is>
      </c>
    </row>
    <row r="1858">
      <c r="A1858" t="n">
        <v>4</v>
      </c>
      <c r="B1858" s="32" t="inlineStr">
        <is>
          <t>S12</t>
        </is>
      </c>
      <c r="C1858" t="inlineStr">
        <is>
          <t>PZ-C</t>
        </is>
      </c>
      <c r="D1858" t="n">
        <v>5</v>
      </c>
      <c r="E1858" t="inlineStr">
        <is>
          <t>J0038</t>
        </is>
      </c>
      <c r="F1858" t="inlineStr">
        <is>
          <t>新竹縣竹北市高鐵七路6號旁</t>
        </is>
      </c>
      <c r="G1858" t="n">
        <v>24.8062985</v>
      </c>
      <c r="H1858" t="n">
        <v>121.0393955</v>
      </c>
      <c r="I1858" t="n">
        <v>16</v>
      </c>
      <c r="J1858" t="n">
        <v>3</v>
      </c>
      <c r="K1858" t="n">
        <v>271.4</v>
      </c>
      <c r="L1858" t="inlineStr">
        <is>
          <t>Primary</t>
        </is>
      </c>
    </row>
    <row r="1859">
      <c r="A1859" t="n">
        <v>4</v>
      </c>
      <c r="B1859" s="32" t="inlineStr">
        <is>
          <t>S12</t>
        </is>
      </c>
      <c r="C1859" t="inlineStr">
        <is>
          <t>PZ-C</t>
        </is>
      </c>
      <c r="D1859" t="n">
        <v>6</v>
      </c>
      <c r="E1859" t="inlineStr">
        <is>
          <t>J0042</t>
        </is>
      </c>
      <c r="F1859" t="inlineStr">
        <is>
          <t>新竹縣竹北市高鐵三路隘口一街路口-高鐵派出所正後方-13F</t>
        </is>
      </c>
      <c r="G1859" t="n">
        <v>24.805683</v>
      </c>
      <c r="H1859" t="n">
        <v>121.038058</v>
      </c>
      <c r="I1859" t="n">
        <v>17</v>
      </c>
      <c r="J1859" t="n">
        <v>3</v>
      </c>
      <c r="K1859" t="n">
        <v>291.4</v>
      </c>
      <c r="L1859" t="inlineStr">
        <is>
          <t>Primary</t>
        </is>
      </c>
    </row>
    <row r="1860">
      <c r="A1860" t="n">
        <v>4</v>
      </c>
      <c r="B1860" s="32" t="inlineStr">
        <is>
          <t>S12</t>
        </is>
      </c>
      <c r="C1860" t="inlineStr">
        <is>
          <t>PZ-C</t>
        </is>
      </c>
      <c r="D1860" t="n">
        <v>7</v>
      </c>
      <c r="E1860" t="inlineStr">
        <is>
          <t>J0041</t>
        </is>
      </c>
      <c r="F1860" t="inlineStr">
        <is>
          <t>新竹縣竹北市高鐵三路隘口一街路口-高鐵派出所正後方</t>
        </is>
      </c>
      <c r="G1860" t="n">
        <v>24.80568659999999</v>
      </c>
      <c r="H1860" t="n">
        <v>121.038048</v>
      </c>
      <c r="I1860" t="n">
        <v>85</v>
      </c>
      <c r="J1860" t="n">
        <v>2</v>
      </c>
      <c r="K1860" t="n">
        <v>378.4</v>
      </c>
      <c r="L1860" t="inlineStr">
        <is>
          <t>Primary</t>
        </is>
      </c>
    </row>
    <row r="1861">
      <c r="A1861" t="n">
        <v>4</v>
      </c>
      <c r="B1861" s="32" t="inlineStr">
        <is>
          <t>S12</t>
        </is>
      </c>
      <c r="C1861" t="inlineStr">
        <is>
          <t>PZ-C</t>
        </is>
      </c>
      <c r="D1861" t="n">
        <v>8</v>
      </c>
      <c r="E1861" t="inlineStr">
        <is>
          <t>J0056</t>
        </is>
      </c>
      <c r="F1861" t="inlineStr">
        <is>
          <t>新竹縣竹北市隘口一街70號</t>
        </is>
      </c>
      <c r="G1861" t="n">
        <v>24.80578333333333</v>
      </c>
      <c r="H1861" t="n">
        <v>121.037708</v>
      </c>
      <c r="I1861" t="n">
        <v>29</v>
      </c>
      <c r="J1861" t="n">
        <v>2</v>
      </c>
      <c r="K1861" t="n">
        <v>409.4</v>
      </c>
      <c r="L1861" t="inlineStr">
        <is>
          <t>Primary</t>
        </is>
      </c>
    </row>
    <row r="1862">
      <c r="A1862" t="n">
        <v>4</v>
      </c>
      <c r="B1862" s="32" t="inlineStr">
        <is>
          <t>S12</t>
        </is>
      </c>
      <c r="C1862" t="inlineStr">
        <is>
          <t>PZ-C</t>
        </is>
      </c>
      <c r="D1862" t="n">
        <v>9</v>
      </c>
      <c r="E1862" t="inlineStr">
        <is>
          <t>J0039</t>
        </is>
      </c>
      <c r="F1862" t="inlineStr">
        <is>
          <t>新竹縣竹北市高鐵二路156號工地</t>
        </is>
      </c>
      <c r="G1862" t="n">
        <v>24.804178</v>
      </c>
      <c r="H1862" t="n">
        <v>121.036964</v>
      </c>
      <c r="I1862" t="n">
        <v>8</v>
      </c>
      <c r="J1862" t="n">
        <v>3</v>
      </c>
      <c r="K1862" t="n">
        <v>420.4</v>
      </c>
      <c r="L1862" t="inlineStr">
        <is>
          <t>Primary</t>
        </is>
      </c>
    </row>
    <row r="1863">
      <c r="A1863" t="n">
        <v>4</v>
      </c>
      <c r="B1863" s="32" t="inlineStr">
        <is>
          <t>S12</t>
        </is>
      </c>
      <c r="C1863" t="inlineStr">
        <is>
          <t>PZ-C</t>
        </is>
      </c>
      <c r="D1863" t="n">
        <v>10</v>
      </c>
      <c r="E1863" t="inlineStr">
        <is>
          <t>J0062</t>
        </is>
      </c>
      <c r="F1863" t="inlineStr">
        <is>
          <t>新竹縣竹北市嘉政九街31號旁-隘興段565地號</t>
        </is>
      </c>
      <c r="G1863" t="n">
        <v>24.805881</v>
      </c>
      <c r="H1863" t="n">
        <v>121.035158</v>
      </c>
      <c r="I1863" t="n">
        <v>8</v>
      </c>
      <c r="J1863" t="n">
        <v>3</v>
      </c>
      <c r="K1863" t="n">
        <v>431.4</v>
      </c>
      <c r="L1863" t="inlineStr">
        <is>
          <t>Primary</t>
        </is>
      </c>
    </row>
    <row r="1864">
      <c r="A1864" t="n">
        <v>4</v>
      </c>
      <c r="B1864" s="32" t="inlineStr">
        <is>
          <t>S12</t>
        </is>
      </c>
      <c r="C1864" t="inlineStr">
        <is>
          <t>PZ-C</t>
        </is>
      </c>
      <c r="D1864" t="n">
        <v>11</v>
      </c>
      <c r="E1864" t="inlineStr">
        <is>
          <t>J0066</t>
        </is>
      </c>
      <c r="F1864" t="inlineStr">
        <is>
          <t>新竹縣竹北市嘉興路498號旁工地</t>
        </is>
      </c>
      <c r="G1864" t="n">
        <v>24.808067</v>
      </c>
      <c r="H1864" t="n">
        <v>121.034516</v>
      </c>
      <c r="I1864" t="n">
        <v>8</v>
      </c>
      <c r="J1864" t="n">
        <v>3</v>
      </c>
      <c r="K1864" t="n">
        <v>442.4</v>
      </c>
      <c r="L1864" t="inlineStr">
        <is>
          <t>Primary</t>
        </is>
      </c>
    </row>
    <row r="1865">
      <c r="A1865" t="n">
        <v>4</v>
      </c>
      <c r="B1865" s="32" t="inlineStr">
        <is>
          <t>S12</t>
        </is>
      </c>
      <c r="C1865" t="inlineStr">
        <is>
          <t>PZ-C</t>
        </is>
      </c>
      <c r="D1865" t="n">
        <v>12</v>
      </c>
      <c r="E1865" t="inlineStr">
        <is>
          <t>J0048</t>
        </is>
      </c>
      <c r="F1865" t="inlineStr">
        <is>
          <t>新竹縣竹北市復興二路與嘉豐11路交叉口</t>
        </is>
      </c>
      <c r="G1865" t="n">
        <v>24.809261</v>
      </c>
      <c r="H1865" t="n">
        <v>121.036566</v>
      </c>
      <c r="I1865" t="n">
        <v>16</v>
      </c>
      <c r="J1865" t="n">
        <v>3</v>
      </c>
      <c r="K1865" t="n">
        <v>461.4</v>
      </c>
      <c r="L1865" t="inlineStr">
        <is>
          <t>Primary</t>
        </is>
      </c>
    </row>
    <row r="1866">
      <c r="A1866" t="n">
        <v>4</v>
      </c>
      <c r="B1866" s="32" t="inlineStr">
        <is>
          <t>S12</t>
        </is>
      </c>
      <c r="C1866" t="inlineStr">
        <is>
          <t>PZ-C</t>
        </is>
      </c>
      <c r="D1866" t="n">
        <v>13</v>
      </c>
      <c r="E1866" t="inlineStr">
        <is>
          <t>J0047</t>
        </is>
      </c>
      <c r="F1866" t="inlineStr">
        <is>
          <t>新竹縣竹北市復興二路&amp;嘉豐七街交叉口</t>
        </is>
      </c>
      <c r="G1866" t="n">
        <v>24.811867</v>
      </c>
      <c r="H1866" t="n">
        <v>121.032575</v>
      </c>
      <c r="I1866" t="n">
        <v>8</v>
      </c>
      <c r="J1866" t="n">
        <v>3</v>
      </c>
      <c r="K1866" t="n">
        <v>472.4</v>
      </c>
      <c r="L1866" t="inlineStr">
        <is>
          <t>Primary</t>
        </is>
      </c>
    </row>
    <row r="1867">
      <c r="A1867" t="n">
        <v>4</v>
      </c>
      <c r="B1867" s="32" t="inlineStr">
        <is>
          <t>S12</t>
        </is>
      </c>
      <c r="C1867" t="inlineStr">
        <is>
          <t>PZ-C</t>
        </is>
      </c>
      <c r="D1867" t="n">
        <v>14</v>
      </c>
      <c r="E1867" t="inlineStr">
        <is>
          <t>J0067</t>
        </is>
      </c>
      <c r="F1867" t="inlineStr">
        <is>
          <t>新竹縣竹北市嘉豐七街101號旁工地</t>
        </is>
      </c>
      <c r="G1867" t="n">
        <v>24.811653</v>
      </c>
      <c r="H1867" t="n">
        <v>121.032406</v>
      </c>
      <c r="I1867" t="n">
        <v>8</v>
      </c>
      <c r="J1867" t="n">
        <v>2</v>
      </c>
      <c r="K1867" t="n">
        <v>482.4</v>
      </c>
      <c r="L1867" t="inlineStr">
        <is>
          <t>Primary</t>
        </is>
      </c>
    </row>
    <row r="1868">
      <c r="A1868" t="n">
        <v>4</v>
      </c>
      <c r="B1868" s="32" t="inlineStr">
        <is>
          <t>S12</t>
        </is>
      </c>
      <c r="C1868" t="inlineStr">
        <is>
          <t>PZ-C</t>
        </is>
      </c>
      <c r="D1868" t="n">
        <v>15</v>
      </c>
      <c r="E1868" t="inlineStr">
        <is>
          <t>J0069</t>
        </is>
      </c>
      <c r="F1868" t="inlineStr">
        <is>
          <t>新竹縣竹北市嘉豐六路1段39號旁</t>
        </is>
      </c>
      <c r="G1868" t="n">
        <v>24.813517</v>
      </c>
      <c r="H1868" t="n">
        <v>121.031864</v>
      </c>
      <c r="I1868" t="n">
        <v>8</v>
      </c>
      <c r="J1868" t="n">
        <v>3</v>
      </c>
      <c r="K1868" t="n">
        <v>493.4</v>
      </c>
      <c r="L1868" t="inlineStr">
        <is>
          <t>Primary</t>
        </is>
      </c>
    </row>
    <row r="1869">
      <c r="A1869" t="n">
        <v>4</v>
      </c>
      <c r="B1869" s="32" t="inlineStr">
        <is>
          <t>S12</t>
        </is>
      </c>
      <c r="C1869" t="inlineStr">
        <is>
          <t>PZ-C</t>
        </is>
      </c>
      <c r="D1869" t="n">
        <v>16</v>
      </c>
      <c r="E1869" t="inlineStr">
        <is>
          <t>J0068</t>
        </is>
      </c>
      <c r="F1869" t="inlineStr">
        <is>
          <t>新竹縣竹北市嘉豐三街302號-繩索公園</t>
        </is>
      </c>
      <c r="G1869" t="n">
        <v>24.815269</v>
      </c>
      <c r="H1869" t="n">
        <v>121.030861</v>
      </c>
      <c r="I1869" t="n">
        <v>16</v>
      </c>
      <c r="J1869" t="n">
        <v>3</v>
      </c>
      <c r="K1869" t="n">
        <v>512.4</v>
      </c>
      <c r="L1869" t="inlineStr">
        <is>
          <t>Primary</t>
        </is>
      </c>
    </row>
    <row r="1870">
      <c r="A1870" t="n">
        <v>5</v>
      </c>
      <c r="B1870" s="32" t="inlineStr">
        <is>
          <t>S12</t>
        </is>
      </c>
      <c r="C1870" t="inlineStr">
        <is>
          <t>PZ-C</t>
        </is>
      </c>
      <c r="D1870" t="n">
        <v>1</v>
      </c>
      <c r="E1870" t="inlineStr">
        <is>
          <t>J0058</t>
        </is>
      </c>
      <c r="F1870" t="inlineStr">
        <is>
          <t>新竹縣竹北市隘口二路12巷60號隔壁</t>
        </is>
      </c>
      <c r="G1870" t="n">
        <v>24.802042</v>
      </c>
      <c r="H1870" t="n">
        <v>121.034161</v>
      </c>
      <c r="I1870" t="n">
        <v>8</v>
      </c>
      <c r="J1870" t="n">
        <v>22.7</v>
      </c>
      <c r="K1870" t="n">
        <v>30.7</v>
      </c>
      <c r="L1870" t="inlineStr">
        <is>
          <t>Primary</t>
        </is>
      </c>
    </row>
    <row r="1871">
      <c r="A1871" t="n">
        <v>5</v>
      </c>
      <c r="B1871" s="32" t="inlineStr">
        <is>
          <t>S12</t>
        </is>
      </c>
      <c r="C1871" t="inlineStr">
        <is>
          <t>PZ-C</t>
        </is>
      </c>
      <c r="D1871" t="n">
        <v>2</v>
      </c>
      <c r="E1871" t="inlineStr">
        <is>
          <t>J0009</t>
        </is>
      </c>
      <c r="F1871" t="inlineStr">
        <is>
          <t>新竹縣竹北市六家五路一段218號</t>
        </is>
      </c>
      <c r="G1871" t="n">
        <v>24.808336</v>
      </c>
      <c r="H1871" t="n">
        <v>121.027409</v>
      </c>
      <c r="I1871" t="n">
        <v>8</v>
      </c>
      <c r="J1871" t="n">
        <v>3</v>
      </c>
      <c r="K1871" t="n">
        <v>41.7</v>
      </c>
      <c r="L1871" t="inlineStr">
        <is>
          <t>Primary</t>
        </is>
      </c>
    </row>
    <row r="1872">
      <c r="A1872" t="n">
        <v>5</v>
      </c>
      <c r="B1872" s="32" t="inlineStr">
        <is>
          <t>S12</t>
        </is>
      </c>
      <c r="C1872" t="inlineStr">
        <is>
          <t>PZ-C</t>
        </is>
      </c>
      <c r="D1872" t="n">
        <v>3</v>
      </c>
      <c r="E1872" t="inlineStr">
        <is>
          <t>J0043</t>
        </is>
      </c>
      <c r="F1872" t="inlineStr">
        <is>
          <t>新竹縣竹北市莊敬南路201號對面-新竹縣立總圖書館</t>
        </is>
      </c>
      <c r="G1872" t="n">
        <v>24.815403</v>
      </c>
      <c r="H1872" t="n">
        <v>121.016978</v>
      </c>
      <c r="I1872" t="n">
        <v>16</v>
      </c>
      <c r="J1872" t="n">
        <v>3.2</v>
      </c>
      <c r="K1872" t="n">
        <v>60.8</v>
      </c>
      <c r="L1872" t="inlineStr">
        <is>
          <t>Primary</t>
        </is>
      </c>
    </row>
    <row r="1873">
      <c r="A1873" t="n">
        <v>5</v>
      </c>
      <c r="B1873" s="32" t="inlineStr">
        <is>
          <t>S12</t>
        </is>
      </c>
      <c r="C1873" t="inlineStr">
        <is>
          <t>PZ-C</t>
        </is>
      </c>
      <c r="D1873" t="n">
        <v>4</v>
      </c>
      <c r="E1873" t="inlineStr">
        <is>
          <t>J0025</t>
        </is>
      </c>
      <c r="F1873" t="inlineStr">
        <is>
          <t>新竹縣竹北市成功八路1號</t>
        </is>
      </c>
      <c r="G1873" t="n">
        <v>24.819464</v>
      </c>
      <c r="H1873" t="n">
        <v>121.015767</v>
      </c>
      <c r="I1873" t="n">
        <v>16</v>
      </c>
      <c r="J1873" t="n">
        <v>3</v>
      </c>
      <c r="K1873" t="n">
        <v>79.8</v>
      </c>
      <c r="L1873" t="inlineStr">
        <is>
          <t>Primary</t>
        </is>
      </c>
    </row>
    <row r="1874">
      <c r="A1874" t="n">
        <v>5</v>
      </c>
      <c r="B1874" s="32" t="inlineStr">
        <is>
          <t>S12</t>
        </is>
      </c>
      <c r="C1874" t="inlineStr">
        <is>
          <t>PZ-C</t>
        </is>
      </c>
      <c r="D1874" t="n">
        <v>5</v>
      </c>
      <c r="E1874" t="inlineStr">
        <is>
          <t>J0070</t>
        </is>
      </c>
      <c r="F1874" t="inlineStr">
        <is>
          <t>新竹縣竹北市福興路733號</t>
        </is>
      </c>
      <c r="G1874" t="n">
        <v>24.821698</v>
      </c>
      <c r="H1874" t="n">
        <v>121.012494</v>
      </c>
      <c r="I1874" t="n">
        <v>8</v>
      </c>
      <c r="J1874" t="n">
        <v>3</v>
      </c>
      <c r="K1874" t="n">
        <v>90.8</v>
      </c>
      <c r="L1874" t="inlineStr">
        <is>
          <t>Primary</t>
        </is>
      </c>
    </row>
    <row r="1875">
      <c r="A1875" t="n">
        <v>5</v>
      </c>
      <c r="B1875" s="32" t="inlineStr">
        <is>
          <t>S12</t>
        </is>
      </c>
      <c r="C1875" t="inlineStr">
        <is>
          <t>PZ-C</t>
        </is>
      </c>
      <c r="D1875" t="n">
        <v>6</v>
      </c>
      <c r="E1875" t="inlineStr">
        <is>
          <t>O0078</t>
        </is>
      </c>
      <c r="F1875" t="inlineStr">
        <is>
          <t>新竹市東區原興路306號旁</t>
        </is>
      </c>
      <c r="G1875" t="n">
        <v>24.8125815</v>
      </c>
      <c r="H1875" t="n">
        <v>120.9981915</v>
      </c>
      <c r="I1875" t="n">
        <v>16</v>
      </c>
      <c r="J1875" t="n">
        <v>4.2</v>
      </c>
      <c r="K1875" t="n">
        <v>111</v>
      </c>
      <c r="L1875" t="inlineStr">
        <is>
          <t>Primary</t>
        </is>
      </c>
    </row>
    <row r="1876">
      <c r="A1876" t="n">
        <v>5</v>
      </c>
      <c r="B1876" s="32" t="inlineStr">
        <is>
          <t>S12</t>
        </is>
      </c>
      <c r="C1876" t="inlineStr">
        <is>
          <t>PZ-C</t>
        </is>
      </c>
      <c r="D1876" t="n">
        <v>7</v>
      </c>
      <c r="E1876" t="inlineStr">
        <is>
          <t>O0046</t>
        </is>
      </c>
      <c r="F1876" t="inlineStr">
        <is>
          <t>新竹市東區中華路一段324號旁工地</t>
        </is>
      </c>
      <c r="G1876" t="n">
        <v>24.811892</v>
      </c>
      <c r="H1876" t="n">
        <v>120.988169</v>
      </c>
      <c r="I1876" t="n">
        <v>16</v>
      </c>
      <c r="J1876" t="n">
        <v>3</v>
      </c>
      <c r="K1876" t="n">
        <v>130</v>
      </c>
      <c r="L1876" t="inlineStr">
        <is>
          <t>Primary</t>
        </is>
      </c>
    </row>
    <row r="1877">
      <c r="A1877" t="n">
        <v>5</v>
      </c>
      <c r="B1877" s="32" t="inlineStr">
        <is>
          <t>S12</t>
        </is>
      </c>
      <c r="C1877" t="inlineStr">
        <is>
          <t>PZ-C</t>
        </is>
      </c>
      <c r="D1877" t="n">
        <v>8</v>
      </c>
      <c r="E1877" t="inlineStr">
        <is>
          <t>O0055</t>
        </is>
      </c>
      <c r="F1877" t="inlineStr">
        <is>
          <t>新竹市東區民族路178巷32號</t>
        </is>
      </c>
      <c r="G1877" t="n">
        <v>24.807944</v>
      </c>
      <c r="H1877" t="n">
        <v>120.980239</v>
      </c>
      <c r="I1877" t="n">
        <v>8</v>
      </c>
      <c r="J1877" t="n">
        <v>3</v>
      </c>
      <c r="K1877" t="n">
        <v>141</v>
      </c>
      <c r="L1877" t="inlineStr">
        <is>
          <t>Primary</t>
        </is>
      </c>
    </row>
    <row r="1878">
      <c r="A1878" t="n">
        <v>5</v>
      </c>
      <c r="B1878" s="32" t="inlineStr">
        <is>
          <t>S12</t>
        </is>
      </c>
      <c r="C1878" t="inlineStr">
        <is>
          <t>PZ-C</t>
        </is>
      </c>
      <c r="D1878" t="n">
        <v>9</v>
      </c>
      <c r="E1878" t="inlineStr">
        <is>
          <t>O0004</t>
        </is>
      </c>
      <c r="F1878" t="inlineStr">
        <is>
          <t>新竹市北區中華路２段270號(新竹女中)對面工地</t>
        </is>
      </c>
      <c r="G1878" t="n">
        <v>24.804714</v>
      </c>
      <c r="H1878" t="n">
        <v>120.975928</v>
      </c>
      <c r="I1878" t="n">
        <v>8</v>
      </c>
      <c r="J1878" t="n">
        <v>3</v>
      </c>
      <c r="K1878" t="n">
        <v>152</v>
      </c>
      <c r="L1878" t="inlineStr">
        <is>
          <t>Primary</t>
        </is>
      </c>
    </row>
    <row r="1879">
      <c r="A1879" t="n">
        <v>5</v>
      </c>
      <c r="B1879" s="32" t="inlineStr">
        <is>
          <t>S12</t>
        </is>
      </c>
      <c r="C1879" t="inlineStr">
        <is>
          <t>PZ-C</t>
        </is>
      </c>
      <c r="D1879" t="n">
        <v>10</v>
      </c>
      <c r="E1879" t="inlineStr">
        <is>
          <t>O0056</t>
        </is>
      </c>
      <c r="F1879" t="inlineStr">
        <is>
          <t>新竹市東區民族路67巷9號</t>
        </is>
      </c>
      <c r="G1879" t="n">
        <v>24.807078</v>
      </c>
      <c r="H1879" t="n">
        <v>120.974603</v>
      </c>
      <c r="I1879" t="n">
        <v>8</v>
      </c>
      <c r="J1879" t="n">
        <v>3</v>
      </c>
      <c r="K1879" t="n">
        <v>163</v>
      </c>
      <c r="L1879" t="inlineStr">
        <is>
          <t>Primary</t>
        </is>
      </c>
    </row>
    <row r="1880">
      <c r="A1880" t="n">
        <v>5</v>
      </c>
      <c r="B1880" s="32" t="inlineStr">
        <is>
          <t>S12</t>
        </is>
      </c>
      <c r="C1880" t="inlineStr">
        <is>
          <t>PZ-C</t>
        </is>
      </c>
      <c r="D1880" t="n">
        <v>11</v>
      </c>
      <c r="E1880" t="inlineStr">
        <is>
          <t>O0053</t>
        </is>
      </c>
      <c r="F1880" t="inlineStr">
        <is>
          <t>新竹市東區世界街7巷7號</t>
        </is>
      </c>
      <c r="G1880" t="n">
        <v>24.810261</v>
      </c>
      <c r="H1880" t="n">
        <v>120.972648</v>
      </c>
      <c r="I1880" t="n">
        <v>8</v>
      </c>
      <c r="J1880" t="n">
        <v>3</v>
      </c>
      <c r="K1880" t="n">
        <v>174</v>
      </c>
      <c r="L1880" t="inlineStr">
        <is>
          <t>Primary</t>
        </is>
      </c>
    </row>
    <row r="1881">
      <c r="A1881" t="n">
        <v>5</v>
      </c>
      <c r="B1881" s="32" t="inlineStr">
        <is>
          <t>S12</t>
        </is>
      </c>
      <c r="C1881" t="inlineStr">
        <is>
          <t>PZ-C</t>
        </is>
      </c>
      <c r="D1881" t="n">
        <v>12</v>
      </c>
      <c r="E1881" t="inlineStr">
        <is>
          <t>O0054</t>
        </is>
      </c>
      <c r="F1881" t="inlineStr">
        <is>
          <t>新竹市東區北大路39巷8弄4號</t>
        </is>
      </c>
      <c r="G1881" t="n">
        <v>24.812453</v>
      </c>
      <c r="H1881" t="n">
        <v>120.973059</v>
      </c>
      <c r="I1881" t="n">
        <v>8</v>
      </c>
      <c r="J1881" t="n">
        <v>3</v>
      </c>
      <c r="K1881" t="n">
        <v>185</v>
      </c>
      <c r="L1881" t="inlineStr">
        <is>
          <t>Primary</t>
        </is>
      </c>
    </row>
    <row r="1882">
      <c r="A1882" t="n">
        <v>5</v>
      </c>
      <c r="B1882" s="32" t="inlineStr">
        <is>
          <t>S12</t>
        </is>
      </c>
      <c r="C1882" t="inlineStr">
        <is>
          <t>PZ-C</t>
        </is>
      </c>
      <c r="D1882" t="n">
        <v>13</v>
      </c>
      <c r="E1882" t="inlineStr">
        <is>
          <t>O0065</t>
        </is>
      </c>
      <c r="F1882" t="inlineStr">
        <is>
          <t>新竹市東區東大路2段17號</t>
        </is>
      </c>
      <c r="G1882" t="n">
        <v>24.812244</v>
      </c>
      <c r="H1882" t="n">
        <v>120.968606</v>
      </c>
      <c r="I1882" t="n">
        <v>64</v>
      </c>
      <c r="J1882" t="n">
        <v>3</v>
      </c>
      <c r="K1882" t="n">
        <v>252</v>
      </c>
      <c r="L1882" t="inlineStr">
        <is>
          <t>Primary</t>
        </is>
      </c>
    </row>
    <row r="1883">
      <c r="A1883" t="n">
        <v>5</v>
      </c>
      <c r="B1883" s="32" t="inlineStr">
        <is>
          <t>S12</t>
        </is>
      </c>
      <c r="C1883" t="inlineStr">
        <is>
          <t>PZ-C</t>
        </is>
      </c>
      <c r="D1883" t="n">
        <v>14</v>
      </c>
      <c r="E1883" t="inlineStr">
        <is>
          <t>O0065</t>
        </is>
      </c>
      <c r="F1883" t="inlineStr">
        <is>
          <t>新竹市東區東大路2段17號</t>
        </is>
      </c>
      <c r="G1883" t="n">
        <v>24.8114316</v>
      </c>
      <c r="H1883" t="n">
        <v>120.9680032</v>
      </c>
      <c r="I1883" t="n">
        <v>64</v>
      </c>
      <c r="J1883" t="n">
        <v>3</v>
      </c>
      <c r="K1883" t="n">
        <v>319</v>
      </c>
      <c r="L1883" t="inlineStr">
        <is>
          <t>Primary</t>
        </is>
      </c>
    </row>
    <row r="1884">
      <c r="A1884" t="n">
        <v>5</v>
      </c>
      <c r="B1884" s="32" t="inlineStr">
        <is>
          <t>S12</t>
        </is>
      </c>
      <c r="C1884" t="inlineStr">
        <is>
          <t>PZ-C</t>
        </is>
      </c>
      <c r="D1884" t="n">
        <v>15</v>
      </c>
      <c r="E1884" t="inlineStr">
        <is>
          <t>O0010</t>
        </is>
      </c>
      <c r="F1884" t="inlineStr">
        <is>
          <t>新竹市北區北門街200號</t>
        </is>
      </c>
      <c r="G1884" t="n">
        <v>24.809222</v>
      </c>
      <c r="H1884" t="n">
        <v>120.965333</v>
      </c>
      <c r="I1884" t="n">
        <v>8</v>
      </c>
      <c r="J1884" t="n">
        <v>3</v>
      </c>
      <c r="K1884" t="n">
        <v>330</v>
      </c>
      <c r="L1884" t="inlineStr">
        <is>
          <t>Primary</t>
        </is>
      </c>
    </row>
    <row r="1885">
      <c r="A1885" t="n">
        <v>5</v>
      </c>
      <c r="B1885" s="32" t="inlineStr">
        <is>
          <t>S12</t>
        </is>
      </c>
      <c r="C1885" t="inlineStr">
        <is>
          <t>PZ-C</t>
        </is>
      </c>
      <c r="D1885" t="n">
        <v>16</v>
      </c>
      <c r="E1885" t="inlineStr">
        <is>
          <t>O0005</t>
        </is>
      </c>
      <c r="F1885" t="inlineStr">
        <is>
          <t>新竹市北區仁德街120號旁(工地內)</t>
        </is>
      </c>
      <c r="G1885" t="n">
        <v>24.807433</v>
      </c>
      <c r="H1885" t="n">
        <v>120.964281</v>
      </c>
      <c r="I1885" t="n">
        <v>8</v>
      </c>
      <c r="J1885" t="n">
        <v>3</v>
      </c>
      <c r="K1885" t="n">
        <v>341</v>
      </c>
      <c r="L1885" t="inlineStr">
        <is>
          <t>Primary</t>
        </is>
      </c>
    </row>
    <row r="1886">
      <c r="A1886" t="n">
        <v>5</v>
      </c>
      <c r="B1886" s="32" t="inlineStr">
        <is>
          <t>S12</t>
        </is>
      </c>
      <c r="C1886" t="inlineStr">
        <is>
          <t>PZ-C</t>
        </is>
      </c>
      <c r="D1886" t="n">
        <v>17</v>
      </c>
      <c r="E1886" t="inlineStr">
        <is>
          <t>O0026</t>
        </is>
      </c>
      <c r="F1886" t="inlineStr">
        <is>
          <t>新竹市北區城北街77號旁工地</t>
        </is>
      </c>
      <c r="G1886" t="n">
        <v>24.811167</v>
      </c>
      <c r="H1886" t="n">
        <v>120.9636</v>
      </c>
      <c r="I1886" t="n">
        <v>8</v>
      </c>
      <c r="J1886" t="n">
        <v>3</v>
      </c>
      <c r="K1886" t="n">
        <v>352</v>
      </c>
      <c r="L1886" t="inlineStr">
        <is>
          <t>Primary</t>
        </is>
      </c>
    </row>
    <row r="1887">
      <c r="A1887" t="n">
        <v>5</v>
      </c>
      <c r="B1887" s="32" t="inlineStr">
        <is>
          <t>S12</t>
        </is>
      </c>
      <c r="C1887" t="inlineStr">
        <is>
          <t>PZ-C</t>
        </is>
      </c>
      <c r="D1887" t="n">
        <v>18</v>
      </c>
      <c r="E1887" t="inlineStr">
        <is>
          <t>O0013</t>
        </is>
      </c>
      <c r="F1887" t="inlineStr">
        <is>
          <t>新竹市北區竹光路15號</t>
        </is>
      </c>
      <c r="G1887" t="n">
        <v>24.814681</v>
      </c>
      <c r="H1887" t="n">
        <v>120.961539</v>
      </c>
      <c r="I1887" t="n">
        <v>8</v>
      </c>
      <c r="J1887" t="n">
        <v>3</v>
      </c>
      <c r="K1887" t="n">
        <v>363</v>
      </c>
      <c r="L1887" t="inlineStr">
        <is>
          <t>Primary</t>
        </is>
      </c>
    </row>
    <row r="1888">
      <c r="A1888" t="n">
        <v>5</v>
      </c>
      <c r="B1888" s="32" t="inlineStr">
        <is>
          <t>S12</t>
        </is>
      </c>
      <c r="C1888" t="inlineStr">
        <is>
          <t>PZ-C</t>
        </is>
      </c>
      <c r="D1888" t="n">
        <v>19</v>
      </c>
      <c r="E1888" t="inlineStr">
        <is>
          <t>O0023</t>
        </is>
      </c>
      <c r="F1888" t="inlineStr">
        <is>
          <t>新竹市北區金雅二街&amp;金雅一街交叉口</t>
        </is>
      </c>
      <c r="G1888" t="n">
        <v>24.816667</v>
      </c>
      <c r="H1888" t="n">
        <v>120.962158</v>
      </c>
      <c r="I1888" t="n">
        <v>8</v>
      </c>
      <c r="J1888" t="n">
        <v>3</v>
      </c>
      <c r="K1888" t="n">
        <v>374</v>
      </c>
      <c r="L1888" t="inlineStr">
        <is>
          <t>Primary</t>
        </is>
      </c>
    </row>
    <row r="1889">
      <c r="A1889" t="n">
        <v>5</v>
      </c>
      <c r="B1889" s="32" t="inlineStr">
        <is>
          <t>S12</t>
        </is>
      </c>
      <c r="C1889" t="inlineStr">
        <is>
          <t>PZ-C</t>
        </is>
      </c>
      <c r="D1889" t="n">
        <v>20</v>
      </c>
      <c r="E1889" t="inlineStr">
        <is>
          <t>O0003</t>
        </is>
      </c>
      <c r="F1889" t="inlineStr">
        <is>
          <t>新竹市北區中正路418巷27弄20號</t>
        </is>
      </c>
      <c r="G1889" t="n">
        <v>24.816886</v>
      </c>
      <c r="H1889" t="n">
        <v>120.960375</v>
      </c>
      <c r="I1889" t="n">
        <v>8</v>
      </c>
      <c r="J1889" t="n">
        <v>3</v>
      </c>
      <c r="K1889" t="n">
        <v>385</v>
      </c>
      <c r="L1889" t="inlineStr">
        <is>
          <t>Primary</t>
        </is>
      </c>
    </row>
    <row r="1890">
      <c r="A1890" t="n">
        <v>5</v>
      </c>
      <c r="B1890" s="32" t="inlineStr">
        <is>
          <t>S12</t>
        </is>
      </c>
      <c r="C1890" t="inlineStr">
        <is>
          <t>PZ-C</t>
        </is>
      </c>
      <c r="D1890" t="n">
        <v>21</v>
      </c>
      <c r="E1890" t="inlineStr">
        <is>
          <t>O0039</t>
        </is>
      </c>
      <c r="F1890" t="inlineStr">
        <is>
          <t>新竹市北區鐵道路三段42號旁</t>
        </is>
      </c>
      <c r="G1890" t="n">
        <v>24.818945</v>
      </c>
      <c r="H1890" t="n">
        <v>120.960367</v>
      </c>
      <c r="I1890" t="n">
        <v>8</v>
      </c>
      <c r="J1890" t="n">
        <v>3</v>
      </c>
      <c r="K1890" t="n">
        <v>396</v>
      </c>
      <c r="L1890" t="inlineStr">
        <is>
          <t>Primary</t>
        </is>
      </c>
    </row>
    <row r="1891">
      <c r="A1891" t="n">
        <v>5</v>
      </c>
      <c r="B1891" s="32" t="inlineStr">
        <is>
          <t>S12</t>
        </is>
      </c>
      <c r="C1891" t="inlineStr">
        <is>
          <t>PZ-C</t>
        </is>
      </c>
      <c r="D1891" t="n">
        <v>22</v>
      </c>
      <c r="E1891" t="inlineStr">
        <is>
          <t>O0031</t>
        </is>
      </c>
      <c r="F1891" t="inlineStr">
        <is>
          <t>新竹市北區境福街201巷-電聯定位</t>
        </is>
      </c>
      <c r="G1891" t="n">
        <v>24.819548</v>
      </c>
      <c r="H1891" t="n">
        <v>120.95795</v>
      </c>
      <c r="I1891" t="n">
        <v>8</v>
      </c>
      <c r="J1891" t="n">
        <v>3</v>
      </c>
      <c r="K1891" t="n">
        <v>407</v>
      </c>
      <c r="L1891" t="inlineStr">
        <is>
          <t>Primary</t>
        </is>
      </c>
    </row>
    <row r="1892">
      <c r="A1892" t="n">
        <v>5</v>
      </c>
      <c r="B1892" s="32" t="inlineStr">
        <is>
          <t>S12</t>
        </is>
      </c>
      <c r="C1892" t="inlineStr">
        <is>
          <t>PZ-C</t>
        </is>
      </c>
      <c r="D1892" t="n">
        <v>23</v>
      </c>
      <c r="E1892" t="inlineStr">
        <is>
          <t>O0002</t>
        </is>
      </c>
      <c r="F1892" t="inlineStr">
        <is>
          <t>新竹市北區士林北路(幼兒園附近工地)</t>
        </is>
      </c>
      <c r="G1892" t="n">
        <v>24.821378</v>
      </c>
      <c r="H1892" t="n">
        <v>120.955086</v>
      </c>
      <c r="I1892" t="n">
        <v>8</v>
      </c>
      <c r="J1892" t="n">
        <v>3</v>
      </c>
      <c r="K1892" t="n">
        <v>418</v>
      </c>
      <c r="L1892" t="inlineStr">
        <is>
          <t>Primary</t>
        </is>
      </c>
    </row>
    <row r="1893">
      <c r="A1893" t="n">
        <v>5</v>
      </c>
      <c r="B1893" s="32" t="inlineStr">
        <is>
          <t>S12</t>
        </is>
      </c>
      <c r="C1893" t="inlineStr">
        <is>
          <t>PZ-C</t>
        </is>
      </c>
      <c r="D1893" t="n">
        <v>24</v>
      </c>
      <c r="E1893" t="inlineStr">
        <is>
          <t>O0001</t>
        </is>
      </c>
      <c r="F1893" t="inlineStr">
        <is>
          <t>新竹市北區士林二街110號</t>
        </is>
      </c>
      <c r="G1893" t="n">
        <v>24.821334</v>
      </c>
      <c r="H1893" t="n">
        <v>120.954222</v>
      </c>
      <c r="I1893" t="n">
        <v>16</v>
      </c>
      <c r="J1893" t="n">
        <v>2</v>
      </c>
      <c r="K1893" t="n">
        <v>436</v>
      </c>
      <c r="L1893" t="inlineStr">
        <is>
          <t>Primary</t>
        </is>
      </c>
    </row>
    <row r="1894">
      <c r="A1894" t="n">
        <v>5</v>
      </c>
      <c r="B1894" s="32" t="inlineStr">
        <is>
          <t>S12</t>
        </is>
      </c>
      <c r="C1894" t="inlineStr">
        <is>
          <t>PZ-C</t>
        </is>
      </c>
      <c r="D1894" t="n">
        <v>25</v>
      </c>
      <c r="E1894" t="inlineStr">
        <is>
          <t>O0012</t>
        </is>
      </c>
      <c r="F1894" t="inlineStr">
        <is>
          <t>新竹市北區成功路107號</t>
        </is>
      </c>
      <c r="G1894" t="n">
        <v>24.814167</v>
      </c>
      <c r="H1894" t="n">
        <v>120.955417</v>
      </c>
      <c r="I1894" t="n">
        <v>8</v>
      </c>
      <c r="J1894" t="n">
        <v>3</v>
      </c>
      <c r="K1894" t="n">
        <v>447</v>
      </c>
      <c r="L1894" t="inlineStr">
        <is>
          <t>Primary</t>
        </is>
      </c>
    </row>
    <row r="1895">
      <c r="A1895" t="n">
        <v>5</v>
      </c>
      <c r="B1895" s="32" t="inlineStr">
        <is>
          <t>S12</t>
        </is>
      </c>
      <c r="C1895" t="inlineStr">
        <is>
          <t>PZ-C</t>
        </is>
      </c>
      <c r="D1895" t="n">
        <v>26</v>
      </c>
      <c r="E1895" t="inlineStr">
        <is>
          <t>O0014</t>
        </is>
      </c>
      <c r="F1895" t="inlineStr">
        <is>
          <t>新竹市北區西大路734號旁</t>
        </is>
      </c>
      <c r="G1895" t="n">
        <v>24.809992</v>
      </c>
      <c r="H1895" t="n">
        <v>120.959347</v>
      </c>
      <c r="I1895" t="n">
        <v>16</v>
      </c>
      <c r="J1895" t="n">
        <v>3</v>
      </c>
      <c r="K1895" t="n">
        <v>466</v>
      </c>
      <c r="L1895" t="inlineStr">
        <is>
          <t>Primary</t>
        </is>
      </c>
    </row>
    <row r="1896">
      <c r="A1896" t="n">
        <v>5</v>
      </c>
      <c r="B1896" s="32" t="inlineStr">
        <is>
          <t>S12</t>
        </is>
      </c>
      <c r="C1896" t="inlineStr">
        <is>
          <t>PZ-C</t>
        </is>
      </c>
      <c r="D1896" t="n">
        <v>27</v>
      </c>
      <c r="E1896" t="inlineStr">
        <is>
          <t>O0029</t>
        </is>
      </c>
      <c r="F1896" t="inlineStr">
        <is>
          <t>新竹市北區經國路2段跟凌雲街口(入口凌雲街)</t>
        </is>
      </c>
      <c r="G1896" t="n">
        <v>24.804379</v>
      </c>
      <c r="H1896" t="n">
        <v>120.954694</v>
      </c>
      <c r="I1896" t="n">
        <v>32</v>
      </c>
      <c r="J1896" t="n">
        <v>3</v>
      </c>
      <c r="K1896" t="n">
        <v>501</v>
      </c>
      <c r="L1896" t="inlineStr">
        <is>
          <t>Primary</t>
        </is>
      </c>
    </row>
    <row r="1897">
      <c r="A1897" t="n">
        <v>6</v>
      </c>
      <c r="B1897" s="32" t="inlineStr">
        <is>
          <t>S12</t>
        </is>
      </c>
      <c r="C1897" t="inlineStr">
        <is>
          <t>PZ-C</t>
        </is>
      </c>
      <c r="D1897" t="n">
        <v>1</v>
      </c>
      <c r="E1897" t="inlineStr">
        <is>
          <t>J0111</t>
        </is>
      </c>
      <c r="F1897" t="inlineStr">
        <is>
          <t>新竹縣東區水利路46巷100號附近</t>
        </is>
      </c>
      <c r="G1897" t="n">
        <v>24.802214</v>
      </c>
      <c r="H1897" t="n">
        <v>121.015283</v>
      </c>
      <c r="I1897" t="n">
        <v>8</v>
      </c>
      <c r="J1897" t="n">
        <v>24.3</v>
      </c>
      <c r="K1897" t="n">
        <v>32.3</v>
      </c>
      <c r="L1897" t="inlineStr">
        <is>
          <t>Primary</t>
        </is>
      </c>
    </row>
    <row r="1898">
      <c r="A1898" t="n">
        <v>6</v>
      </c>
      <c r="B1898" s="32" t="inlineStr">
        <is>
          <t>S12</t>
        </is>
      </c>
      <c r="C1898" t="inlineStr">
        <is>
          <t>PZ-C</t>
        </is>
      </c>
      <c r="D1898" t="n">
        <v>2</v>
      </c>
      <c r="E1898" t="inlineStr">
        <is>
          <t>O0070</t>
        </is>
      </c>
      <c r="F1898" t="inlineStr">
        <is>
          <t>新竹市東區建功二路28號附近-建功安居社會住宅</t>
        </is>
      </c>
      <c r="G1898" t="n">
        <v>24.797172</v>
      </c>
      <c r="H1898" t="n">
        <v>121.003975</v>
      </c>
      <c r="I1898" t="n">
        <v>8</v>
      </c>
      <c r="J1898" t="n">
        <v>3.1</v>
      </c>
      <c r="K1898" t="n">
        <v>43.4</v>
      </c>
      <c r="L1898" t="inlineStr">
        <is>
          <t>Primary</t>
        </is>
      </c>
    </row>
    <row r="1899">
      <c r="A1899" t="n">
        <v>6</v>
      </c>
      <c r="B1899" s="32" t="inlineStr">
        <is>
          <t>S12</t>
        </is>
      </c>
      <c r="C1899" t="inlineStr">
        <is>
          <t>PZ-C</t>
        </is>
      </c>
      <c r="D1899" t="n">
        <v>3</v>
      </c>
      <c r="E1899" t="inlineStr">
        <is>
          <t>O0069</t>
        </is>
      </c>
      <c r="F1899" t="inlineStr">
        <is>
          <t>新竹市東區建功二路17號-建功高中</t>
        </is>
      </c>
      <c r="G1899" t="n">
        <v>24.79899825</v>
      </c>
      <c r="H1899" t="n">
        <v>121.00114575</v>
      </c>
      <c r="I1899" t="n">
        <v>32</v>
      </c>
      <c r="J1899" t="n">
        <v>3</v>
      </c>
      <c r="K1899" t="n">
        <v>78.40000000000001</v>
      </c>
      <c r="L1899" t="inlineStr">
        <is>
          <t>Primary</t>
        </is>
      </c>
    </row>
    <row r="1900">
      <c r="A1900" t="n">
        <v>6</v>
      </c>
      <c r="B1900" s="32" t="inlineStr">
        <is>
          <t>S12</t>
        </is>
      </c>
      <c r="C1900" t="inlineStr">
        <is>
          <t>PZ-C</t>
        </is>
      </c>
      <c r="D1900" t="n">
        <v>4</v>
      </c>
      <c r="E1900" t="inlineStr">
        <is>
          <t>O0066</t>
        </is>
      </c>
      <c r="F1900" t="inlineStr">
        <is>
          <t>新竹市東區東美路102之1號</t>
        </is>
      </c>
      <c r="G1900" t="n">
        <v>24.801781</v>
      </c>
      <c r="H1900" t="n">
        <v>121.001836</v>
      </c>
      <c r="I1900" t="n">
        <v>8</v>
      </c>
      <c r="J1900" t="n">
        <v>3</v>
      </c>
      <c r="K1900" t="n">
        <v>89.40000000000001</v>
      </c>
      <c r="L1900" t="inlineStr">
        <is>
          <t>Primary</t>
        </is>
      </c>
    </row>
    <row r="1901">
      <c r="A1901" t="n">
        <v>6</v>
      </c>
      <c r="B1901" s="32" t="inlineStr">
        <is>
          <t>S12</t>
        </is>
      </c>
      <c r="C1901" t="inlineStr">
        <is>
          <t>PZ-C</t>
        </is>
      </c>
      <c r="D1901" t="n">
        <v>5</v>
      </c>
      <c r="E1901" t="inlineStr">
        <is>
          <t>O0061</t>
        </is>
      </c>
      <c r="F1901" t="inlineStr">
        <is>
          <t>新竹市東區光復路二段101號-國立清華大學</t>
        </is>
      </c>
      <c r="G1901" t="n">
        <v>24.796602</v>
      </c>
      <c r="H1901" t="n">
        <v>120.994697</v>
      </c>
      <c r="I1901" t="n">
        <v>8</v>
      </c>
      <c r="J1901" t="n">
        <v>3</v>
      </c>
      <c r="K1901" t="n">
        <v>100.4</v>
      </c>
      <c r="L1901" t="inlineStr">
        <is>
          <t>Primary</t>
        </is>
      </c>
    </row>
    <row r="1902">
      <c r="A1902" t="n">
        <v>6</v>
      </c>
      <c r="B1902" s="32" t="inlineStr">
        <is>
          <t>S12</t>
        </is>
      </c>
      <c r="C1902" t="inlineStr">
        <is>
          <t>PZ-C</t>
        </is>
      </c>
      <c r="D1902" t="n">
        <v>6</v>
      </c>
      <c r="E1902" t="inlineStr">
        <is>
          <t>O0059</t>
        </is>
      </c>
      <c r="F1902" t="inlineStr">
        <is>
          <t>新竹市東區光明新村167號</t>
        </is>
      </c>
      <c r="G1902" t="n">
        <v>24.791639</v>
      </c>
      <c r="H1902" t="n">
        <v>120.997308</v>
      </c>
      <c r="I1902" t="n">
        <v>24</v>
      </c>
      <c r="J1902" t="n">
        <v>3</v>
      </c>
      <c r="K1902" t="n">
        <v>127.4</v>
      </c>
      <c r="L1902" t="inlineStr">
        <is>
          <t>Primary</t>
        </is>
      </c>
    </row>
    <row r="1903">
      <c r="A1903" t="n">
        <v>6</v>
      </c>
      <c r="B1903" s="32" t="inlineStr">
        <is>
          <t>S12</t>
        </is>
      </c>
      <c r="C1903" t="inlineStr">
        <is>
          <t>PZ-C</t>
        </is>
      </c>
      <c r="D1903" t="n">
        <v>7</v>
      </c>
      <c r="E1903" t="inlineStr">
        <is>
          <t>O0072</t>
        </is>
      </c>
      <c r="F1903" t="inlineStr">
        <is>
          <t>新竹市東區科技四路5號附近</t>
        </is>
      </c>
      <c r="G1903" t="n">
        <v>24.785005</v>
      </c>
      <c r="H1903" t="n">
        <v>121.004144</v>
      </c>
      <c r="I1903" t="n">
        <v>8</v>
      </c>
      <c r="J1903" t="n">
        <v>3</v>
      </c>
      <c r="K1903" t="n">
        <v>138.4</v>
      </c>
      <c r="L1903" t="inlineStr">
        <is>
          <t>Primary</t>
        </is>
      </c>
    </row>
    <row r="1904">
      <c r="A1904" t="n">
        <v>6</v>
      </c>
      <c r="B1904" s="32" t="inlineStr">
        <is>
          <t>S12</t>
        </is>
      </c>
      <c r="C1904" t="inlineStr">
        <is>
          <t>PZ-C</t>
        </is>
      </c>
      <c r="D1904" t="n">
        <v>8</v>
      </c>
      <c r="E1904" t="inlineStr">
        <is>
          <t>O0071</t>
        </is>
      </c>
      <c r="F1904" t="inlineStr">
        <is>
          <t>新竹市東區科技五路1樓</t>
        </is>
      </c>
      <c r="G1904" t="n">
        <v>24.78508</v>
      </c>
      <c r="H1904" t="n">
        <v>121.004944</v>
      </c>
      <c r="I1904" t="n">
        <v>8</v>
      </c>
      <c r="J1904" t="n">
        <v>2</v>
      </c>
      <c r="K1904" t="n">
        <v>148.4</v>
      </c>
      <c r="L1904" t="inlineStr">
        <is>
          <t>Primary</t>
        </is>
      </c>
    </row>
    <row r="1905">
      <c r="A1905" t="n">
        <v>6</v>
      </c>
      <c r="B1905" s="32" t="inlineStr">
        <is>
          <t>S12</t>
        </is>
      </c>
      <c r="C1905" t="inlineStr">
        <is>
          <t>PZ-C</t>
        </is>
      </c>
      <c r="D1905" t="n">
        <v>9</v>
      </c>
      <c r="E1905" t="inlineStr">
        <is>
          <t>O0083</t>
        </is>
      </c>
      <c r="F1905" t="inlineStr">
        <is>
          <t>新竹市東區新安路3號-附定位圖</t>
        </is>
      </c>
      <c r="G1905" t="n">
        <v>24.781039</v>
      </c>
      <c r="H1905" t="n">
        <v>121.003953</v>
      </c>
      <c r="I1905" t="n">
        <v>32</v>
      </c>
      <c r="J1905" t="n">
        <v>3</v>
      </c>
      <c r="K1905" t="n">
        <v>183.4</v>
      </c>
      <c r="L1905" t="inlineStr">
        <is>
          <t>Primary</t>
        </is>
      </c>
    </row>
    <row r="1906">
      <c r="A1906" t="n">
        <v>6</v>
      </c>
      <c r="B1906" s="32" t="inlineStr">
        <is>
          <t>S12</t>
        </is>
      </c>
      <c r="C1906" t="inlineStr">
        <is>
          <t>PZ-C</t>
        </is>
      </c>
      <c r="D1906" t="n">
        <v>10</v>
      </c>
      <c r="E1906" t="inlineStr">
        <is>
          <t>O0042</t>
        </is>
      </c>
      <c r="F1906" t="inlineStr">
        <is>
          <t>新竹市東區工業東四路&amp;東三路交叉口-1F1號門</t>
        </is>
      </c>
      <c r="G1906" t="n">
        <v>24.776056</v>
      </c>
      <c r="H1906" t="n">
        <v>121.005722</v>
      </c>
      <c r="I1906" t="n">
        <v>8</v>
      </c>
      <c r="J1906" t="n">
        <v>3</v>
      </c>
      <c r="K1906" t="n">
        <v>194.4</v>
      </c>
      <c r="L1906" t="inlineStr">
        <is>
          <t>Primary</t>
        </is>
      </c>
    </row>
    <row r="1907">
      <c r="A1907" t="n">
        <v>6</v>
      </c>
      <c r="B1907" s="32" t="inlineStr">
        <is>
          <t>S12</t>
        </is>
      </c>
      <c r="C1907" t="inlineStr">
        <is>
          <t>PZ-C</t>
        </is>
      </c>
      <c r="D1907" t="n">
        <v>11</v>
      </c>
      <c r="E1907" t="inlineStr">
        <is>
          <t>J0218</t>
        </is>
      </c>
      <c r="F1907" t="inlineStr">
        <is>
          <t>新竹縣寶山鄉大雅三街66旁</t>
        </is>
      </c>
      <c r="G1907" t="n">
        <v>24.767348</v>
      </c>
      <c r="H1907" t="n">
        <v>121.000628</v>
      </c>
      <c r="I1907" t="n">
        <v>16</v>
      </c>
      <c r="J1907" t="n">
        <v>3</v>
      </c>
      <c r="K1907" t="n">
        <v>213.4</v>
      </c>
      <c r="L1907" t="inlineStr">
        <is>
          <t>Primary</t>
        </is>
      </c>
    </row>
    <row r="1908">
      <c r="A1908" t="n">
        <v>6</v>
      </c>
      <c r="B1908" s="32" t="inlineStr">
        <is>
          <t>S12</t>
        </is>
      </c>
      <c r="C1908" t="inlineStr">
        <is>
          <t>PZ-C</t>
        </is>
      </c>
      <c r="D1908" t="n">
        <v>12</v>
      </c>
      <c r="E1908" t="inlineStr">
        <is>
          <t>J0227</t>
        </is>
      </c>
      <c r="F1908" t="inlineStr">
        <is>
          <t>新竹縣寶山鄉雙園路二段39號</t>
        </is>
      </c>
      <c r="G1908" t="n">
        <v>24.768825</v>
      </c>
      <c r="H1908" t="n">
        <v>120.99605</v>
      </c>
      <c r="I1908" t="n">
        <v>24</v>
      </c>
      <c r="J1908" t="n">
        <v>3</v>
      </c>
      <c r="K1908" t="n">
        <v>240.4</v>
      </c>
      <c r="L1908" t="inlineStr">
        <is>
          <t>Primary</t>
        </is>
      </c>
    </row>
    <row r="1909">
      <c r="A1909" t="n">
        <v>6</v>
      </c>
      <c r="B1909" s="32" t="inlineStr">
        <is>
          <t>S12</t>
        </is>
      </c>
      <c r="C1909" t="inlineStr">
        <is>
          <t>PZ-C</t>
        </is>
      </c>
      <c r="D1909" t="n">
        <v>13</v>
      </c>
      <c r="E1909" t="inlineStr">
        <is>
          <t>J0229</t>
        </is>
      </c>
      <c r="F1909" t="inlineStr">
        <is>
          <t>新竹縣寶山鄉雙豐二街附近工地</t>
        </is>
      </c>
      <c r="G1909" t="n">
        <v>24.767325</v>
      </c>
      <c r="H1909" t="n">
        <v>120.988722</v>
      </c>
      <c r="I1909" t="n">
        <v>8</v>
      </c>
      <c r="J1909" t="n">
        <v>3</v>
      </c>
      <c r="K1909" t="n">
        <v>251.4</v>
      </c>
      <c r="L1909" t="inlineStr">
        <is>
          <t>Primary</t>
        </is>
      </c>
    </row>
    <row r="1910">
      <c r="A1910" t="n">
        <v>6</v>
      </c>
      <c r="B1910" s="32" t="inlineStr">
        <is>
          <t>S12</t>
        </is>
      </c>
      <c r="C1910" t="inlineStr">
        <is>
          <t>PZ-C</t>
        </is>
      </c>
      <c r="D1910" t="n">
        <v>14</v>
      </c>
      <c r="E1910" t="inlineStr">
        <is>
          <t>J0225</t>
        </is>
      </c>
      <c r="F1910" t="inlineStr">
        <is>
          <t>新竹縣寶山鄉環北路303號</t>
        </is>
      </c>
      <c r="G1910" t="n">
        <v>24.767298</v>
      </c>
      <c r="H1910" t="n">
        <v>120.983372</v>
      </c>
      <c r="I1910" t="n">
        <v>8</v>
      </c>
      <c r="J1910" t="n">
        <v>3</v>
      </c>
      <c r="K1910" t="n">
        <v>262.4</v>
      </c>
      <c r="L1910" t="inlineStr">
        <is>
          <t>Primary</t>
        </is>
      </c>
    </row>
    <row r="1911">
      <c r="A1911" t="n">
        <v>6</v>
      </c>
      <c r="B1911" s="32" t="inlineStr">
        <is>
          <t>S12</t>
        </is>
      </c>
      <c r="C1911" t="inlineStr">
        <is>
          <t>PZ-C</t>
        </is>
      </c>
      <c r="D1911" t="n">
        <v>15</v>
      </c>
      <c r="E1911" t="inlineStr">
        <is>
          <t>J0226</t>
        </is>
      </c>
      <c r="F1911" t="inlineStr">
        <is>
          <t>新竹縣寶山鄉環南路101號斜對面</t>
        </is>
      </c>
      <c r="G1911" t="n">
        <v>24.761028</v>
      </c>
      <c r="H1911" t="n">
        <v>120.988055</v>
      </c>
      <c r="I1911" t="n">
        <v>16</v>
      </c>
      <c r="J1911" t="n">
        <v>3</v>
      </c>
      <c r="K1911" t="n">
        <v>281.4</v>
      </c>
      <c r="L1911" t="inlineStr">
        <is>
          <t>Primary</t>
        </is>
      </c>
    </row>
    <row r="1912">
      <c r="A1912" t="n">
        <v>6</v>
      </c>
      <c r="B1912" s="32" t="inlineStr">
        <is>
          <t>S12</t>
        </is>
      </c>
      <c r="C1912" t="inlineStr">
        <is>
          <t>PZ-C</t>
        </is>
      </c>
      <c r="D1912" t="n">
        <v>16</v>
      </c>
      <c r="E1912" t="inlineStr">
        <is>
          <t>J0215</t>
        </is>
      </c>
      <c r="F1912" t="inlineStr">
        <is>
          <t>新竹縣寶山鄉大雅一街110號-會分散擺放-環南下料場</t>
        </is>
      </c>
      <c r="G1912" t="n">
        <v>24.761319</v>
      </c>
      <c r="H1912" t="n">
        <v>120.990691</v>
      </c>
      <c r="I1912" t="n">
        <v>16</v>
      </c>
      <c r="J1912" t="n">
        <v>3</v>
      </c>
      <c r="K1912" t="n">
        <v>300.4</v>
      </c>
      <c r="L1912" t="inlineStr">
        <is>
          <t>Primary</t>
        </is>
      </c>
    </row>
    <row r="1913">
      <c r="A1913" t="n">
        <v>6</v>
      </c>
      <c r="B1913" s="32" t="inlineStr">
        <is>
          <t>S12</t>
        </is>
      </c>
      <c r="C1913" t="inlineStr">
        <is>
          <t>PZ-C</t>
        </is>
      </c>
      <c r="D1913" t="n">
        <v>17</v>
      </c>
      <c r="E1913" t="inlineStr">
        <is>
          <t>J0214</t>
        </is>
      </c>
      <c r="F1913" t="inlineStr">
        <is>
          <t>新竹縣寶山鄉大雅一街110號-會分散擺放-環南上料場</t>
        </is>
      </c>
      <c r="G1913" t="n">
        <v>24.760758</v>
      </c>
      <c r="H1913" t="n">
        <v>120.991475</v>
      </c>
      <c r="I1913" t="n">
        <v>16</v>
      </c>
      <c r="J1913" t="n">
        <v>3</v>
      </c>
      <c r="K1913" t="n">
        <v>319.4</v>
      </c>
      <c r="L1913" t="inlineStr">
        <is>
          <t>Primary</t>
        </is>
      </c>
    </row>
    <row r="1914">
      <c r="A1914" t="n">
        <v>6</v>
      </c>
      <c r="B1914" s="32" t="inlineStr">
        <is>
          <t>S12</t>
        </is>
      </c>
      <c r="C1914" t="inlineStr">
        <is>
          <t>PZ-C</t>
        </is>
      </c>
      <c r="D1914" t="n">
        <v>18</v>
      </c>
      <c r="E1914" t="inlineStr">
        <is>
          <t>J0212</t>
        </is>
      </c>
      <c r="F1914" t="inlineStr">
        <is>
          <t>新竹縣寶山鄉大雅一街110號-會分散擺放-湳坑料場</t>
        </is>
      </c>
      <c r="G1914" t="n">
        <v>24.762525</v>
      </c>
      <c r="H1914" t="n">
        <v>120.990289</v>
      </c>
      <c r="I1914" t="n">
        <v>16</v>
      </c>
      <c r="J1914" t="n">
        <v>3</v>
      </c>
      <c r="K1914" t="n">
        <v>338.4</v>
      </c>
      <c r="L1914" t="inlineStr">
        <is>
          <t>Primary</t>
        </is>
      </c>
    </row>
    <row r="1915">
      <c r="A1915" t="n">
        <v>6</v>
      </c>
      <c r="B1915" s="32" t="inlineStr">
        <is>
          <t>S12</t>
        </is>
      </c>
      <c r="C1915" t="inlineStr">
        <is>
          <t>PZ-C</t>
        </is>
      </c>
      <c r="D1915" t="n">
        <v>19</v>
      </c>
      <c r="E1915" t="inlineStr">
        <is>
          <t>J0206</t>
        </is>
      </c>
      <c r="F1915" t="inlineStr">
        <is>
          <t>新竹縣寶山鄉三峰路2段104巷</t>
        </is>
      </c>
      <c r="G1915" t="n">
        <v>24.760925</v>
      </c>
      <c r="H1915" t="n">
        <v>120.998694</v>
      </c>
      <c r="I1915" t="n">
        <v>24</v>
      </c>
      <c r="J1915" t="n">
        <v>3</v>
      </c>
      <c r="K1915" t="n">
        <v>365.4</v>
      </c>
      <c r="L1915" t="inlineStr">
        <is>
          <t>Primary</t>
        </is>
      </c>
    </row>
    <row r="1916">
      <c r="A1916" t="n">
        <v>6</v>
      </c>
      <c r="B1916" s="32" t="inlineStr">
        <is>
          <t>S12</t>
        </is>
      </c>
      <c r="C1916" t="inlineStr">
        <is>
          <t>PZ-C</t>
        </is>
      </c>
      <c r="D1916" t="n">
        <v>20</v>
      </c>
      <c r="E1916" t="inlineStr">
        <is>
          <t>J0207</t>
        </is>
      </c>
      <c r="F1916" t="inlineStr">
        <is>
          <t>新竹縣寶山鄉三峰路2段104巷(電聯帶定位到大崎廟橋旁)</t>
        </is>
      </c>
      <c r="G1916" t="n">
        <v>24.760925</v>
      </c>
      <c r="H1916" t="n">
        <v>120.998694</v>
      </c>
      <c r="I1916" t="n">
        <v>24</v>
      </c>
      <c r="J1916" t="n">
        <v>2</v>
      </c>
      <c r="K1916" t="n">
        <v>391.4</v>
      </c>
      <c r="L1916" t="inlineStr">
        <is>
          <t>Primary</t>
        </is>
      </c>
    </row>
    <row r="1917">
      <c r="A1917" t="n">
        <v>6</v>
      </c>
      <c r="B1917" s="32" t="inlineStr">
        <is>
          <t>S12</t>
        </is>
      </c>
      <c r="C1917" t="inlineStr">
        <is>
          <t>PZ-C</t>
        </is>
      </c>
      <c r="D1917" t="n">
        <v>21</v>
      </c>
      <c r="E1917" t="inlineStr">
        <is>
          <t>J0211</t>
        </is>
      </c>
      <c r="F1917" t="inlineStr">
        <is>
          <t>新竹縣寶山鄉大雅一街105號-亞東氣體</t>
        </is>
      </c>
      <c r="G1917" t="n">
        <v>24.761933</v>
      </c>
      <c r="H1917" t="n">
        <v>121.000947</v>
      </c>
      <c r="I1917" t="n">
        <v>8</v>
      </c>
      <c r="J1917" t="n">
        <v>3</v>
      </c>
      <c r="K1917" t="n">
        <v>402.4</v>
      </c>
      <c r="L1917" t="inlineStr">
        <is>
          <t>Primary</t>
        </is>
      </c>
    </row>
    <row r="1918">
      <c r="A1918" t="n">
        <v>6</v>
      </c>
      <c r="B1918" s="32" t="inlineStr">
        <is>
          <t>S12</t>
        </is>
      </c>
      <c r="C1918" t="inlineStr">
        <is>
          <t>PZ-C</t>
        </is>
      </c>
      <c r="D1918" t="n">
        <v>22</v>
      </c>
      <c r="E1918" t="inlineStr">
        <is>
          <t>J0210</t>
        </is>
      </c>
      <c r="F1918" t="inlineStr">
        <is>
          <t>新竹縣寶山鄉大雅一街101號隔壁</t>
        </is>
      </c>
      <c r="G1918" t="n">
        <v>24.761864</v>
      </c>
      <c r="H1918" t="n">
        <v>121.001142</v>
      </c>
      <c r="I1918" t="n">
        <v>32</v>
      </c>
      <c r="J1918" t="n">
        <v>2</v>
      </c>
      <c r="K1918" t="n">
        <v>436.4</v>
      </c>
      <c r="L1918" t="inlineStr">
        <is>
          <t>Primary</t>
        </is>
      </c>
    </row>
    <row r="1919">
      <c r="A1919" t="n">
        <v>6</v>
      </c>
      <c r="B1919" s="32" t="inlineStr">
        <is>
          <t>S12</t>
        </is>
      </c>
      <c r="C1919" t="inlineStr">
        <is>
          <t>PZ-C</t>
        </is>
      </c>
      <c r="D1919" t="n">
        <v>23</v>
      </c>
      <c r="E1919" t="inlineStr">
        <is>
          <t>J0209</t>
        </is>
      </c>
      <c r="F1919" t="inlineStr">
        <is>
          <t>新竹縣寶山鄉大雅一街101號-亞東氣體</t>
        </is>
      </c>
      <c r="G1919" t="n">
        <v>24.760531</v>
      </c>
      <c r="H1919" t="n">
        <v>121.0015</v>
      </c>
      <c r="I1919" t="n">
        <v>32</v>
      </c>
      <c r="J1919" t="n">
        <v>3</v>
      </c>
      <c r="K1919" t="n">
        <v>471.4</v>
      </c>
      <c r="L1919" t="inlineStr">
        <is>
          <t>Primary</t>
        </is>
      </c>
    </row>
    <row r="1920">
      <c r="A1920" t="n">
        <v>6</v>
      </c>
      <c r="B1920" s="32" t="inlineStr">
        <is>
          <t>S12</t>
        </is>
      </c>
      <c r="C1920" t="inlineStr">
        <is>
          <t>PZ-C</t>
        </is>
      </c>
      <c r="D1920" t="n">
        <v>24</v>
      </c>
      <c r="E1920" t="inlineStr">
        <is>
          <t>J0221</t>
        </is>
      </c>
      <c r="F1920" t="inlineStr">
        <is>
          <t>新竹縣寶山鄉大雅路二段近啟德廠-雙龍段296號-電聯定位</t>
        </is>
      </c>
      <c r="G1920" t="n">
        <v>24.759969</v>
      </c>
      <c r="H1920" t="n">
        <v>121.002558</v>
      </c>
      <c r="I1920" t="n">
        <v>32</v>
      </c>
      <c r="J1920" t="n">
        <v>3</v>
      </c>
      <c r="K1920" t="n">
        <v>506.4</v>
      </c>
      <c r="L1920" t="inlineStr">
        <is>
          <t>Primary</t>
        </is>
      </c>
    </row>
    <row r="1921">
      <c r="A1921" t="n">
        <v>1</v>
      </c>
      <c r="B1921" s="33" t="inlineStr">
        <is>
          <t>S13</t>
        </is>
      </c>
      <c r="C1921" t="inlineStr">
        <is>
          <t>WG-A</t>
        </is>
      </c>
      <c r="D1921" t="n">
        <v>1</v>
      </c>
      <c r="E1921" t="inlineStr">
        <is>
          <t>F0110</t>
        </is>
      </c>
      <c r="F1921" t="inlineStr">
        <is>
          <t>新北市五股區成泰路一段98巷10號</t>
        </is>
      </c>
      <c r="G1921" t="n">
        <v>25.0702478</v>
      </c>
      <c r="H1921" t="n">
        <v>121.439656</v>
      </c>
      <c r="I1921" t="n">
        <v>8</v>
      </c>
      <c r="J1921" t="n">
        <v>3</v>
      </c>
      <c r="K1921" t="n">
        <v>11</v>
      </c>
      <c r="L1921" t="inlineStr">
        <is>
          <t>Primary</t>
        </is>
      </c>
    </row>
    <row r="1922">
      <c r="A1922" t="n">
        <v>1</v>
      </c>
      <c r="B1922" s="33" t="inlineStr">
        <is>
          <t>S13</t>
        </is>
      </c>
      <c r="C1922" t="inlineStr">
        <is>
          <t>WG-A</t>
        </is>
      </c>
      <c r="D1922" t="n">
        <v>2</v>
      </c>
      <c r="E1922" t="inlineStr">
        <is>
          <t>F0113</t>
        </is>
      </c>
      <c r="F1922" t="inlineStr">
        <is>
          <t>新北市五股區自強路162號</t>
        </is>
      </c>
      <c r="G1922" t="n">
        <v>25.069994</v>
      </c>
      <c r="H1922" t="n">
        <v>121.432162</v>
      </c>
      <c r="I1922" t="n">
        <v>8</v>
      </c>
      <c r="J1922" t="n">
        <v>3</v>
      </c>
      <c r="K1922" t="n">
        <v>22</v>
      </c>
      <c r="L1922" t="inlineStr">
        <is>
          <t>Primary</t>
        </is>
      </c>
    </row>
    <row r="1923">
      <c r="A1923" t="n">
        <v>1</v>
      </c>
      <c r="B1923" s="33" t="inlineStr">
        <is>
          <t>S13</t>
        </is>
      </c>
      <c r="C1923" t="inlineStr">
        <is>
          <t>WG-A</t>
        </is>
      </c>
      <c r="D1923" t="n">
        <v>3</v>
      </c>
      <c r="E1923" t="inlineStr">
        <is>
          <t>F0115</t>
        </is>
      </c>
      <c r="F1923" t="inlineStr">
        <is>
          <t>新北市五股區登林路67號</t>
        </is>
      </c>
      <c r="G1923" t="n">
        <v>25.0694805</v>
      </c>
      <c r="H1923" t="n">
        <v>121.4284388</v>
      </c>
      <c r="I1923" t="n">
        <v>8</v>
      </c>
      <c r="J1923" t="n">
        <v>3</v>
      </c>
      <c r="K1923" t="n">
        <v>33</v>
      </c>
      <c r="L1923" t="inlineStr">
        <is>
          <t>Primary</t>
        </is>
      </c>
    </row>
    <row r="1924">
      <c r="A1924" t="n">
        <v>1</v>
      </c>
      <c r="B1924" s="33" t="inlineStr">
        <is>
          <t>S13</t>
        </is>
      </c>
      <c r="C1924" t="inlineStr">
        <is>
          <t>WG-A</t>
        </is>
      </c>
      <c r="D1924" t="n">
        <v>4</v>
      </c>
      <c r="E1924" t="inlineStr">
        <is>
          <t>F0239</t>
        </is>
      </c>
      <c r="F1924" t="inlineStr">
        <is>
          <t>新北市泰山區美寧街59號斜對面</t>
        </is>
      </c>
      <c r="G1924" t="n">
        <v>25.0648422</v>
      </c>
      <c r="H1924" t="n">
        <v>121.4306746</v>
      </c>
      <c r="I1924" t="n">
        <v>8</v>
      </c>
      <c r="J1924" t="n">
        <v>3</v>
      </c>
      <c r="K1924" t="n">
        <v>44</v>
      </c>
      <c r="L1924" t="inlineStr">
        <is>
          <t>Primary</t>
        </is>
      </c>
    </row>
    <row r="1925">
      <c r="A1925" t="n">
        <v>1</v>
      </c>
      <c r="B1925" s="33" t="inlineStr">
        <is>
          <t>S13</t>
        </is>
      </c>
      <c r="C1925" t="inlineStr">
        <is>
          <t>WG-A</t>
        </is>
      </c>
      <c r="D1925" t="n">
        <v>5</v>
      </c>
      <c r="E1925" t="inlineStr">
        <is>
          <t>F0241</t>
        </is>
      </c>
      <c r="F1925" t="inlineStr">
        <is>
          <t>新北市泰山區楓江路46巷底</t>
        </is>
      </c>
      <c r="G1925" t="n">
        <v>25.0623832</v>
      </c>
      <c r="H1925" t="n">
        <v>121.4350336</v>
      </c>
      <c r="I1925" t="n">
        <v>8</v>
      </c>
      <c r="J1925" t="n">
        <v>3</v>
      </c>
      <c r="K1925" t="n">
        <v>55</v>
      </c>
      <c r="L1925" t="inlineStr">
        <is>
          <t>Primary</t>
        </is>
      </c>
    </row>
    <row r="1926">
      <c r="A1926" t="n">
        <v>1</v>
      </c>
      <c r="B1926" s="33" t="inlineStr">
        <is>
          <t>S13</t>
        </is>
      </c>
      <c r="C1926" t="inlineStr">
        <is>
          <t>WG-A</t>
        </is>
      </c>
      <c r="D1926" t="n">
        <v>6</v>
      </c>
      <c r="E1926" t="inlineStr">
        <is>
          <t>F0242</t>
        </is>
      </c>
      <c r="F1926" t="inlineStr">
        <is>
          <t>新北市泰山區楓江路86巷52號</t>
        </is>
      </c>
      <c r="G1926" t="n">
        <v>25.0598296</v>
      </c>
      <c r="H1926" t="n">
        <v>121.4388837</v>
      </c>
      <c r="I1926" t="n">
        <v>8</v>
      </c>
      <c r="J1926" t="n">
        <v>3</v>
      </c>
      <c r="K1926" t="n">
        <v>66</v>
      </c>
      <c r="L1926" t="inlineStr">
        <is>
          <t>Primary</t>
        </is>
      </c>
    </row>
    <row r="1927">
      <c r="A1927" t="n">
        <v>1</v>
      </c>
      <c r="B1927" s="33" t="inlineStr">
        <is>
          <t>S13</t>
        </is>
      </c>
      <c r="C1927" t="inlineStr">
        <is>
          <t>WG-A</t>
        </is>
      </c>
      <c r="D1927" t="n">
        <v>7</v>
      </c>
      <c r="E1927" t="inlineStr">
        <is>
          <t>F0229</t>
        </is>
      </c>
      <c r="F1927" t="inlineStr">
        <is>
          <t>新北市泰山區中港西路與新生路交叉口附近</t>
        </is>
      </c>
      <c r="G1927" t="n">
        <v>25.0554453</v>
      </c>
      <c r="H1927" t="n">
        <v>121.4358254</v>
      </c>
      <c r="I1927" t="n">
        <v>8</v>
      </c>
      <c r="J1927" t="n">
        <v>3</v>
      </c>
      <c r="K1927" t="n">
        <v>77</v>
      </c>
      <c r="L1927" t="inlineStr">
        <is>
          <t>Primary</t>
        </is>
      </c>
    </row>
    <row r="1928">
      <c r="A1928" t="n">
        <v>1</v>
      </c>
      <c r="B1928" s="33" t="inlineStr">
        <is>
          <t>S13</t>
        </is>
      </c>
      <c r="C1928" t="inlineStr">
        <is>
          <t>WG-A</t>
        </is>
      </c>
      <c r="D1928" t="n">
        <v>8</v>
      </c>
      <c r="E1928" t="inlineStr">
        <is>
          <t>F0231</t>
        </is>
      </c>
      <c r="F1928" t="inlineStr">
        <is>
          <t>新北市泰山區信華五街169號</t>
        </is>
      </c>
      <c r="G1928" t="n">
        <v>25.0461215</v>
      </c>
      <c r="H1928" t="n">
        <v>121.4395207</v>
      </c>
      <c r="I1928" t="n">
        <v>8</v>
      </c>
      <c r="J1928" t="n">
        <v>3</v>
      </c>
      <c r="K1928" t="n">
        <v>88</v>
      </c>
      <c r="L1928" t="inlineStr">
        <is>
          <t>Primary</t>
        </is>
      </c>
    </row>
    <row r="1929">
      <c r="A1929" t="n">
        <v>1</v>
      </c>
      <c r="B1929" s="33" t="inlineStr">
        <is>
          <t>S13</t>
        </is>
      </c>
      <c r="C1929" t="inlineStr">
        <is>
          <t>WG-A</t>
        </is>
      </c>
      <c r="D1929" t="n">
        <v>9</v>
      </c>
      <c r="E1929" t="inlineStr">
        <is>
          <t>F0292</t>
        </is>
      </c>
      <c r="F1929" t="inlineStr">
        <is>
          <t>新北市新莊區中環路二段上-宏國-宏道豐匯-電聯定位</t>
        </is>
      </c>
      <c r="G1929" t="n">
        <v>25.043275</v>
      </c>
      <c r="H1929" t="n">
        <v>121.4419078</v>
      </c>
      <c r="I1929" t="n">
        <v>8</v>
      </c>
      <c r="J1929" t="n">
        <v>3</v>
      </c>
      <c r="K1929" t="n">
        <v>99</v>
      </c>
      <c r="L1929" t="inlineStr">
        <is>
          <t>Primary</t>
        </is>
      </c>
    </row>
    <row r="1930">
      <c r="A1930" t="n">
        <v>1</v>
      </c>
      <c r="B1930" s="33" t="inlineStr">
        <is>
          <t>S13</t>
        </is>
      </c>
      <c r="C1930" t="inlineStr">
        <is>
          <t>WG-A</t>
        </is>
      </c>
      <c r="D1930" t="n">
        <v>10</v>
      </c>
      <c r="E1930" t="inlineStr">
        <is>
          <t>F0294</t>
        </is>
      </c>
      <c r="F1930" t="inlineStr">
        <is>
          <t>新北市新莊區公園一路84號對面</t>
        </is>
      </c>
      <c r="G1930" t="n">
        <v>25.0368889</v>
      </c>
      <c r="H1930" t="n">
        <v>121.443363</v>
      </c>
      <c r="I1930" t="n">
        <v>8</v>
      </c>
      <c r="J1930" t="n">
        <v>3</v>
      </c>
      <c r="K1930" t="n">
        <v>110</v>
      </c>
      <c r="L1930" t="inlineStr">
        <is>
          <t>Primary</t>
        </is>
      </c>
    </row>
    <row r="1931">
      <c r="A1931" t="n">
        <v>1</v>
      </c>
      <c r="B1931" s="33" t="inlineStr">
        <is>
          <t>S13</t>
        </is>
      </c>
      <c r="C1931" t="inlineStr">
        <is>
          <t>WG-A</t>
        </is>
      </c>
      <c r="D1931" t="n">
        <v>11</v>
      </c>
      <c r="E1931" t="inlineStr">
        <is>
          <t>F0302</t>
        </is>
      </c>
      <c r="F1931" t="inlineStr">
        <is>
          <t>新北市新莊區瓊林路59-3號旁</t>
        </is>
      </c>
      <c r="G1931" t="n">
        <v>25.0271888</v>
      </c>
      <c r="H1931" t="n">
        <v>121.4441786</v>
      </c>
      <c r="I1931" t="n">
        <v>8</v>
      </c>
      <c r="J1931" t="n">
        <v>3</v>
      </c>
      <c r="K1931" t="n">
        <v>121</v>
      </c>
      <c r="L1931" t="inlineStr">
        <is>
          <t>Primary</t>
        </is>
      </c>
    </row>
    <row r="1932">
      <c r="A1932" t="n">
        <v>1</v>
      </c>
      <c r="B1932" s="33" t="inlineStr">
        <is>
          <t>S13</t>
        </is>
      </c>
      <c r="C1932" t="inlineStr">
        <is>
          <t>WG-A</t>
        </is>
      </c>
      <c r="D1932" t="n">
        <v>12</v>
      </c>
      <c r="E1932" t="inlineStr">
        <is>
          <t>F0303</t>
        </is>
      </c>
      <c r="F1932" t="inlineStr">
        <is>
          <t>新北市新莊區瓊林路59-3號旁-追加</t>
        </is>
      </c>
      <c r="G1932" t="n">
        <v>25.0271888</v>
      </c>
      <c r="H1932" t="n">
        <v>121.4441786</v>
      </c>
      <c r="I1932" t="n">
        <v>8</v>
      </c>
      <c r="J1932" t="n">
        <v>2</v>
      </c>
      <c r="K1932" t="n">
        <v>131</v>
      </c>
      <c r="L1932" t="inlineStr">
        <is>
          <t>Primary</t>
        </is>
      </c>
    </row>
    <row r="1933">
      <c r="A1933" t="n">
        <v>1</v>
      </c>
      <c r="B1933" s="33" t="inlineStr">
        <is>
          <t>S13</t>
        </is>
      </c>
      <c r="C1933" t="inlineStr">
        <is>
          <t>WG-A</t>
        </is>
      </c>
      <c r="D1933" t="n">
        <v>13</v>
      </c>
      <c r="E1933" t="inlineStr">
        <is>
          <t>F0151</t>
        </is>
      </c>
      <c r="F1933" t="inlineStr">
        <is>
          <t>新北市板橋區板城路&amp;藝文二街交叉口</t>
        </is>
      </c>
      <c r="G1933" t="n">
        <v>25.0223584</v>
      </c>
      <c r="H1933" t="n">
        <v>121.450647</v>
      </c>
      <c r="I1933" t="n">
        <v>24</v>
      </c>
      <c r="J1933" t="n">
        <v>3</v>
      </c>
      <c r="K1933" t="n">
        <v>158</v>
      </c>
      <c r="L1933" t="inlineStr">
        <is>
          <t>Primary</t>
        </is>
      </c>
    </row>
    <row r="1934">
      <c r="A1934" t="n">
        <v>1</v>
      </c>
      <c r="B1934" s="33" t="inlineStr">
        <is>
          <t>S13</t>
        </is>
      </c>
      <c r="C1934" t="inlineStr">
        <is>
          <t>WG-A</t>
        </is>
      </c>
      <c r="D1934" t="n">
        <v>14</v>
      </c>
      <c r="E1934" t="inlineStr">
        <is>
          <t>F0148</t>
        </is>
      </c>
      <c r="F1934" t="inlineStr">
        <is>
          <t>新北市板橋區文化路一段25號-板橋高中</t>
        </is>
      </c>
      <c r="G1934" t="n">
        <v>25.0118386</v>
      </c>
      <c r="H1934" t="n">
        <v>121.4591722</v>
      </c>
      <c r="I1934" t="n">
        <v>8</v>
      </c>
      <c r="J1934" t="n">
        <v>3.5</v>
      </c>
      <c r="K1934" t="n">
        <v>169.5</v>
      </c>
      <c r="L1934" t="inlineStr">
        <is>
          <t>Primary</t>
        </is>
      </c>
    </row>
    <row r="1935">
      <c r="A1935" t="n">
        <v>1</v>
      </c>
      <c r="B1935" s="33" t="inlineStr">
        <is>
          <t>S13</t>
        </is>
      </c>
      <c r="C1935" t="inlineStr">
        <is>
          <t>WG-A</t>
        </is>
      </c>
      <c r="D1935" t="n">
        <v>15</v>
      </c>
      <c r="E1935" t="inlineStr">
        <is>
          <t>F0162</t>
        </is>
      </c>
      <c r="F1935" t="inlineStr">
        <is>
          <t>新北市板橋區新站路-板橋車站旁</t>
        </is>
      </c>
      <c r="G1935" t="n">
        <v>25.01405</v>
      </c>
      <c r="H1935" t="n">
        <v>121.46381</v>
      </c>
      <c r="I1935" t="n">
        <v>16</v>
      </c>
      <c r="J1935" t="n">
        <v>3</v>
      </c>
      <c r="K1935" t="n">
        <v>188.5</v>
      </c>
      <c r="L1935" t="inlineStr">
        <is>
          <t>Primary</t>
        </is>
      </c>
    </row>
    <row r="1936">
      <c r="A1936" t="n">
        <v>1</v>
      </c>
      <c r="B1936" s="33" t="inlineStr">
        <is>
          <t>S13</t>
        </is>
      </c>
      <c r="C1936" t="inlineStr">
        <is>
          <t>WG-A</t>
        </is>
      </c>
      <c r="D1936" t="n">
        <v>16</v>
      </c>
      <c r="E1936" t="inlineStr">
        <is>
          <t>F0161</t>
        </is>
      </c>
      <c r="F1936" t="inlineStr">
        <is>
          <t>新北市板橋區新站路3號-福德公園</t>
        </is>
      </c>
      <c r="G1936" t="n">
        <v>25.011432</v>
      </c>
      <c r="H1936" t="n">
        <v>121.468376</v>
      </c>
      <c r="I1936" t="n">
        <v>24</v>
      </c>
      <c r="J1936" t="n">
        <v>3</v>
      </c>
      <c r="K1936" t="n">
        <v>215.5</v>
      </c>
      <c r="L1936" t="inlineStr">
        <is>
          <t>Primary</t>
        </is>
      </c>
    </row>
    <row r="1937">
      <c r="A1937" t="n">
        <v>1</v>
      </c>
      <c r="B1937" s="33" t="inlineStr">
        <is>
          <t>S13</t>
        </is>
      </c>
      <c r="C1937" t="inlineStr">
        <is>
          <t>WG-A</t>
        </is>
      </c>
      <c r="D1937" t="n">
        <v>17</v>
      </c>
      <c r="E1937" t="inlineStr">
        <is>
          <t>F0145</t>
        </is>
      </c>
      <c r="F1937" t="inlineStr">
        <is>
          <t>新北市板橋區太和街4巷3號</t>
        </is>
      </c>
      <c r="G1937" t="n">
        <v>25.0199038</v>
      </c>
      <c r="H1937" t="n">
        <v>121.4740031</v>
      </c>
      <c r="I1937" t="n">
        <v>8</v>
      </c>
      <c r="J1937" t="n">
        <v>3</v>
      </c>
      <c r="K1937" t="n">
        <v>226.5</v>
      </c>
      <c r="L1937" t="inlineStr">
        <is>
          <t>Primary</t>
        </is>
      </c>
    </row>
    <row r="1938">
      <c r="A1938" t="n">
        <v>1</v>
      </c>
      <c r="B1938" s="33" t="inlineStr">
        <is>
          <t>S13</t>
        </is>
      </c>
      <c r="C1938" t="inlineStr">
        <is>
          <t>WG-A</t>
        </is>
      </c>
      <c r="D1938" t="n">
        <v>18</v>
      </c>
      <c r="E1938" t="inlineStr">
        <is>
          <t>F0152</t>
        </is>
      </c>
      <c r="F1938" t="inlineStr">
        <is>
          <t>新北市板橋區莊敬路260號</t>
        </is>
      </c>
      <c r="G1938" t="n">
        <v>25.0215729</v>
      </c>
      <c r="H1938" t="n">
        <v>121.4742052</v>
      </c>
      <c r="I1938" t="n">
        <v>8</v>
      </c>
      <c r="J1938" t="n">
        <v>3</v>
      </c>
      <c r="K1938" t="n">
        <v>237.5</v>
      </c>
      <c r="L1938" t="inlineStr">
        <is>
          <t>Primary</t>
        </is>
      </c>
    </row>
    <row r="1939">
      <c r="A1939" t="n">
        <v>1</v>
      </c>
      <c r="B1939" s="33" t="inlineStr">
        <is>
          <t>S13</t>
        </is>
      </c>
      <c r="C1939" t="inlineStr">
        <is>
          <t>WG-A</t>
        </is>
      </c>
      <c r="D1939" t="n">
        <v>19</v>
      </c>
      <c r="E1939" t="inlineStr">
        <is>
          <t>F0153</t>
        </is>
      </c>
      <c r="F1939" t="inlineStr">
        <is>
          <t>新北市板橋區莒光路161號</t>
        </is>
      </c>
      <c r="G1939" t="n">
        <v>25.0241326</v>
      </c>
      <c r="H1939" t="n">
        <v>121.4738904</v>
      </c>
      <c r="I1939" t="n">
        <v>16</v>
      </c>
      <c r="J1939" t="n">
        <v>3</v>
      </c>
      <c r="K1939" t="n">
        <v>256.5</v>
      </c>
      <c r="L1939" t="inlineStr">
        <is>
          <t>Primary</t>
        </is>
      </c>
    </row>
    <row r="1940">
      <c r="A1940" t="n">
        <v>1</v>
      </c>
      <c r="B1940" s="33" t="inlineStr">
        <is>
          <t>S13</t>
        </is>
      </c>
      <c r="C1940" t="inlineStr">
        <is>
          <t>WG-A</t>
        </is>
      </c>
      <c r="D1940" t="n">
        <v>20</v>
      </c>
      <c r="E1940" t="inlineStr">
        <is>
          <t>F0149</t>
        </is>
      </c>
      <c r="F1940" t="inlineStr">
        <is>
          <t>新北市板橋區文化路二段182巷7弄與9弄巷口</t>
        </is>
      </c>
      <c r="G1940" t="n">
        <v>25.0278498</v>
      </c>
      <c r="H1940" t="n">
        <v>121.472594</v>
      </c>
      <c r="I1940" t="n">
        <v>8</v>
      </c>
      <c r="J1940" t="n">
        <v>3</v>
      </c>
      <c r="K1940" t="n">
        <v>267.5</v>
      </c>
      <c r="L1940" t="inlineStr">
        <is>
          <t>Primary</t>
        </is>
      </c>
    </row>
    <row r="1941">
      <c r="A1941" t="n">
        <v>1</v>
      </c>
      <c r="B1941" s="33" t="inlineStr">
        <is>
          <t>S13</t>
        </is>
      </c>
      <c r="C1941" t="inlineStr">
        <is>
          <t>WG-A</t>
        </is>
      </c>
      <c r="D1941" t="n">
        <v>21</v>
      </c>
      <c r="E1941" t="inlineStr">
        <is>
          <t>F0164</t>
        </is>
      </c>
      <c r="F1941" t="inlineStr">
        <is>
          <t>新北市板橋區銘傳街76巷15號對面檳榔攤</t>
        </is>
      </c>
      <c r="G1941" t="n">
        <v>25.0312379</v>
      </c>
      <c r="H1941" t="n">
        <v>121.4696011</v>
      </c>
      <c r="I1941" t="n">
        <v>8</v>
      </c>
      <c r="J1941" t="n">
        <v>3</v>
      </c>
      <c r="K1941" t="n">
        <v>278.5</v>
      </c>
      <c r="L1941" t="inlineStr">
        <is>
          <t>Primary</t>
        </is>
      </c>
    </row>
    <row r="1942">
      <c r="A1942" t="n">
        <v>1</v>
      </c>
      <c r="B1942" s="33" t="inlineStr">
        <is>
          <t>S13</t>
        </is>
      </c>
      <c r="C1942" t="inlineStr">
        <is>
          <t>WG-A</t>
        </is>
      </c>
      <c r="D1942" t="n">
        <v>22</v>
      </c>
      <c r="E1942" t="inlineStr">
        <is>
          <t>F0155</t>
        </is>
      </c>
      <c r="F1942" t="inlineStr">
        <is>
          <t>新北市板橋區華江八路-洗車場</t>
        </is>
      </c>
      <c r="G1942" t="n">
        <v>25.0338142</v>
      </c>
      <c r="H1942" t="n">
        <v>121.4672859</v>
      </c>
      <c r="I1942" t="n">
        <v>8</v>
      </c>
      <c r="J1942" t="n">
        <v>3</v>
      </c>
      <c r="K1942" t="n">
        <v>289.5</v>
      </c>
      <c r="L1942" t="inlineStr">
        <is>
          <t>Primary</t>
        </is>
      </c>
    </row>
    <row r="1943">
      <c r="A1943" t="n">
        <v>1</v>
      </c>
      <c r="B1943" s="33" t="inlineStr">
        <is>
          <t>S13</t>
        </is>
      </c>
      <c r="C1943" t="inlineStr">
        <is>
          <t>WG-A</t>
        </is>
      </c>
      <c r="D1943" t="n">
        <v>23</v>
      </c>
      <c r="E1943" t="inlineStr">
        <is>
          <t>F0154</t>
        </is>
      </c>
      <c r="F1943" t="inlineStr">
        <is>
          <t>新北市板橋區華江八路79號旁工地</t>
        </is>
      </c>
      <c r="G1943" t="n">
        <v>25.0337021</v>
      </c>
      <c r="H1943" t="n">
        <v>121.4667025</v>
      </c>
      <c r="I1943" t="n">
        <v>40</v>
      </c>
      <c r="J1943" t="n">
        <v>2</v>
      </c>
      <c r="K1943" t="n">
        <v>331.5</v>
      </c>
      <c r="L1943" t="inlineStr">
        <is>
          <t>Primary</t>
        </is>
      </c>
    </row>
    <row r="1944">
      <c r="A1944" t="n">
        <v>1</v>
      </c>
      <c r="B1944" s="33" t="inlineStr">
        <is>
          <t>S13</t>
        </is>
      </c>
      <c r="C1944" t="inlineStr">
        <is>
          <t>WG-A</t>
        </is>
      </c>
      <c r="D1944" t="n">
        <v>24</v>
      </c>
      <c r="E1944" t="inlineStr">
        <is>
          <t>F0296</t>
        </is>
      </c>
      <c r="F1944" t="inlineStr">
        <is>
          <t>新北市新莊區化成路9-2.9-3號-711宜家門市對面</t>
        </is>
      </c>
      <c r="G1944" t="n">
        <v>25.0430947</v>
      </c>
      <c r="H1944" t="n">
        <v>121.4648116</v>
      </c>
      <c r="I1944" t="n">
        <v>16</v>
      </c>
      <c r="J1944" t="n">
        <v>3</v>
      </c>
      <c r="K1944" t="n">
        <v>350.5</v>
      </c>
      <c r="L1944" t="inlineStr">
        <is>
          <t>Primary</t>
        </is>
      </c>
    </row>
    <row r="1945">
      <c r="A1945" t="n">
        <v>1</v>
      </c>
      <c r="B1945" s="33" t="inlineStr">
        <is>
          <t>S13</t>
        </is>
      </c>
      <c r="C1945" t="inlineStr">
        <is>
          <t>WG-A</t>
        </is>
      </c>
      <c r="D1945" t="n">
        <v>25</v>
      </c>
      <c r="E1945" t="inlineStr">
        <is>
          <t>F0290</t>
        </is>
      </c>
      <c r="F1945" t="inlineStr">
        <is>
          <t>新北市新莊區中原東路63號與69號中間</t>
        </is>
      </c>
      <c r="G1945" t="n">
        <v>25.0543471</v>
      </c>
      <c r="H1945" t="n">
        <v>121.4632407</v>
      </c>
      <c r="I1945" t="n">
        <v>8</v>
      </c>
      <c r="J1945" t="n">
        <v>3</v>
      </c>
      <c r="K1945" t="n">
        <v>361.5</v>
      </c>
      <c r="L1945" t="inlineStr">
        <is>
          <t>Primary</t>
        </is>
      </c>
    </row>
    <row r="1946">
      <c r="A1946" t="n">
        <v>1</v>
      </c>
      <c r="B1946" s="33" t="inlineStr">
        <is>
          <t>S13</t>
        </is>
      </c>
      <c r="C1946" t="inlineStr">
        <is>
          <t>WG-A</t>
        </is>
      </c>
      <c r="D1946" t="n">
        <v>26</v>
      </c>
      <c r="E1946" t="inlineStr">
        <is>
          <t>F0288</t>
        </is>
      </c>
      <c r="F1946" t="inlineStr">
        <is>
          <t>新北市新莊區中央路與福壽街交叉口工地</t>
        </is>
      </c>
      <c r="G1946" t="n">
        <v>25.0588761</v>
      </c>
      <c r="H1946" t="n">
        <v>121.4576136</v>
      </c>
      <c r="I1946" t="n">
        <v>8</v>
      </c>
      <c r="J1946" t="n">
        <v>3</v>
      </c>
      <c r="K1946" t="n">
        <v>372.5</v>
      </c>
      <c r="L1946" t="inlineStr">
        <is>
          <t>Primary</t>
        </is>
      </c>
    </row>
    <row r="1947">
      <c r="A1947" t="n">
        <v>1</v>
      </c>
      <c r="B1947" s="33" t="inlineStr">
        <is>
          <t>S13</t>
        </is>
      </c>
      <c r="C1947" t="inlineStr">
        <is>
          <t>WG-A</t>
        </is>
      </c>
      <c r="D1947" t="n">
        <v>27</v>
      </c>
      <c r="E1947" t="inlineStr">
        <is>
          <t>F0287</t>
        </is>
      </c>
      <c r="F1947" t="inlineStr">
        <is>
          <t>新北市新莊區中央路&amp;昌平街口</t>
        </is>
      </c>
      <c r="G1947" t="n">
        <v>25.0588258</v>
      </c>
      <c r="H1947" t="n">
        <v>121.4546339</v>
      </c>
      <c r="I1947" t="n">
        <v>32</v>
      </c>
      <c r="J1947" t="n">
        <v>3</v>
      </c>
      <c r="K1947" t="n">
        <v>407.5</v>
      </c>
      <c r="L1947" t="inlineStr">
        <is>
          <t>Primary</t>
        </is>
      </c>
    </row>
    <row r="1948">
      <c r="A1948" t="n">
        <v>1</v>
      </c>
      <c r="B1948" s="33" t="inlineStr">
        <is>
          <t>S13</t>
        </is>
      </c>
      <c r="C1948" t="inlineStr">
        <is>
          <t>WG-A</t>
        </is>
      </c>
      <c r="D1948" t="n">
        <v>28</v>
      </c>
      <c r="E1948" t="inlineStr">
        <is>
          <t>F0287</t>
        </is>
      </c>
      <c r="F1948" t="inlineStr">
        <is>
          <t>新北市新莊區中央路&amp;昌平街口</t>
        </is>
      </c>
      <c r="G1948" t="n">
        <v>25.0588258</v>
      </c>
      <c r="H1948" t="n">
        <v>121.4546339</v>
      </c>
      <c r="I1948" t="n">
        <v>32</v>
      </c>
      <c r="J1948" t="n">
        <v>2</v>
      </c>
      <c r="K1948" t="n">
        <v>441.5</v>
      </c>
      <c r="L1948" t="inlineStr">
        <is>
          <t>Primary</t>
        </is>
      </c>
    </row>
    <row r="1949">
      <c r="A1949" t="n">
        <v>1</v>
      </c>
      <c r="B1949" s="33" t="inlineStr">
        <is>
          <t>S13</t>
        </is>
      </c>
      <c r="C1949" t="inlineStr">
        <is>
          <t>WG-A</t>
        </is>
      </c>
      <c r="D1949" t="n">
        <v>29</v>
      </c>
      <c r="E1949" t="inlineStr">
        <is>
          <t>F0291</t>
        </is>
      </c>
      <c r="F1949" t="inlineStr">
        <is>
          <t>新北市新莊區中原路及中華路三段路口</t>
        </is>
      </c>
      <c r="G1949" t="n">
        <v>25.0573167</v>
      </c>
      <c r="H1949" t="n">
        <v>121.4521906</v>
      </c>
      <c r="I1949" t="n">
        <v>16</v>
      </c>
      <c r="J1949" t="n">
        <v>3</v>
      </c>
      <c r="K1949" t="n">
        <v>460.5</v>
      </c>
      <c r="L1949" t="inlineStr">
        <is>
          <t>Primary</t>
        </is>
      </c>
    </row>
    <row r="1950">
      <c r="A1950" t="n">
        <v>1</v>
      </c>
      <c r="B1950" s="33" t="inlineStr">
        <is>
          <t>S13</t>
        </is>
      </c>
      <c r="C1950" t="inlineStr">
        <is>
          <t>WG-A</t>
        </is>
      </c>
      <c r="D1950" t="n">
        <v>30</v>
      </c>
      <c r="E1950" t="inlineStr">
        <is>
          <t>F0300</t>
        </is>
      </c>
      <c r="F1950" t="inlineStr">
        <is>
          <t>新北市新莊區福慧路231號旁</t>
        </is>
      </c>
      <c r="G1950" t="n">
        <v>25.0614332</v>
      </c>
      <c r="H1950" t="n">
        <v>121.4516036</v>
      </c>
      <c r="I1950" t="n">
        <v>8</v>
      </c>
      <c r="J1950" t="n">
        <v>3</v>
      </c>
      <c r="K1950" t="n">
        <v>471.5</v>
      </c>
      <c r="L1950" t="inlineStr">
        <is>
          <t>Primary</t>
        </is>
      </c>
    </row>
    <row r="1951">
      <c r="A1951" t="n">
        <v>1</v>
      </c>
      <c r="B1951" s="33" t="inlineStr">
        <is>
          <t>S13</t>
        </is>
      </c>
      <c r="C1951" t="inlineStr">
        <is>
          <t>WG-A</t>
        </is>
      </c>
      <c r="D1951" t="n">
        <v>31</v>
      </c>
      <c r="E1951" t="inlineStr">
        <is>
          <t>F0103</t>
        </is>
      </c>
      <c r="F1951" t="inlineStr">
        <is>
          <t>新北市五股區中興路３段7-1號 (車廠)</t>
        </is>
      </c>
      <c r="G1951" t="n">
        <v>25.0792914</v>
      </c>
      <c r="H1951" t="n">
        <v>121.4459852</v>
      </c>
      <c r="I1951" t="n">
        <v>8</v>
      </c>
      <c r="J1951" t="n">
        <v>5</v>
      </c>
      <c r="K1951" t="n">
        <v>484.5</v>
      </c>
      <c r="L1951" t="inlineStr">
        <is>
          <t>Primary</t>
        </is>
      </c>
    </row>
    <row r="1952">
      <c r="A1952" t="n">
        <v>1</v>
      </c>
      <c r="B1952" s="33" t="inlineStr">
        <is>
          <t>S13</t>
        </is>
      </c>
      <c r="C1952" t="inlineStr">
        <is>
          <t>WG-A</t>
        </is>
      </c>
      <c r="D1952" t="n">
        <v>32</v>
      </c>
      <c r="E1952" t="inlineStr">
        <is>
          <t>F0108</t>
        </is>
      </c>
      <c r="F1952" t="inlineStr">
        <is>
          <t>新北市五股區成泰路(五股夏綠地)</t>
        </is>
      </c>
      <c r="G1952" t="n">
        <v>25.0785895</v>
      </c>
      <c r="H1952" t="n">
        <v>121.4415431</v>
      </c>
      <c r="I1952" t="n">
        <v>16</v>
      </c>
      <c r="J1952" t="n">
        <v>3</v>
      </c>
      <c r="K1952" t="n">
        <v>503.5</v>
      </c>
      <c r="L1952" t="inlineStr">
        <is>
          <t>Primary</t>
        </is>
      </c>
    </row>
    <row r="1953">
      <c r="A1953" t="n">
        <v>1</v>
      </c>
      <c r="B1953" s="33" t="inlineStr">
        <is>
          <t>S13</t>
        </is>
      </c>
      <c r="C1953" t="inlineStr">
        <is>
          <t>WG-A</t>
        </is>
      </c>
      <c r="D1953" t="n">
        <v>33</v>
      </c>
      <c r="E1953" t="inlineStr">
        <is>
          <t>F0111</t>
        </is>
      </c>
      <c r="F1953" t="inlineStr">
        <is>
          <t>新北市五股區成泰路二段224號</t>
        </is>
      </c>
      <c r="G1953" t="n">
        <v>25.0861079</v>
      </c>
      <c r="H1953" t="n">
        <v>121.4396409</v>
      </c>
      <c r="I1953" t="n">
        <v>16</v>
      </c>
      <c r="J1953" t="n">
        <v>3</v>
      </c>
      <c r="K1953" t="n">
        <v>522.5</v>
      </c>
      <c r="L1953" t="inlineStr">
        <is>
          <t>Primary</t>
        </is>
      </c>
    </row>
    <row r="1954">
      <c r="A1954" t="n">
        <v>1</v>
      </c>
      <c r="B1954" s="33" t="inlineStr">
        <is>
          <t>S13</t>
        </is>
      </c>
      <c r="C1954" t="inlineStr">
        <is>
          <t>WG-A</t>
        </is>
      </c>
      <c r="D1954" t="n">
        <v>34</v>
      </c>
      <c r="E1954" t="inlineStr">
        <is>
          <t>F0107</t>
        </is>
      </c>
      <c r="F1954" t="inlineStr">
        <is>
          <t>新北市五股區水碓一路60號旁工地</t>
        </is>
      </c>
      <c r="G1954" t="n">
        <v>25.0737487</v>
      </c>
      <c r="H1954" t="n">
        <v>121.431901</v>
      </c>
      <c r="I1954" t="n">
        <v>8</v>
      </c>
      <c r="J1954" t="n">
        <v>3.8</v>
      </c>
      <c r="K1954" t="n">
        <v>534.3</v>
      </c>
      <c r="L1954" t="inlineStr">
        <is>
          <t>Primary</t>
        </is>
      </c>
    </row>
    <row r="1955">
      <c r="A1955" t="n">
        <v>2</v>
      </c>
      <c r="B1955" s="33" t="inlineStr">
        <is>
          <t>S13</t>
        </is>
      </c>
      <c r="C1955" t="inlineStr">
        <is>
          <t>WG-A</t>
        </is>
      </c>
      <c r="D1955" t="n">
        <v>1</v>
      </c>
      <c r="E1955" t="inlineStr">
        <is>
          <t>F0240</t>
        </is>
      </c>
      <c r="F1955" t="inlineStr">
        <is>
          <t>新北市泰山區泰林路二段542巷1弄21號旁</t>
        </is>
      </c>
      <c r="G1955" t="n">
        <v>25.0639489</v>
      </c>
      <c r="H1955" t="n">
        <v>121.4226761</v>
      </c>
      <c r="I1955" t="n">
        <v>8</v>
      </c>
      <c r="J1955" t="n">
        <v>4.9</v>
      </c>
      <c r="K1955" t="n">
        <v>12.9</v>
      </c>
      <c r="L1955" t="inlineStr">
        <is>
          <t>Primary</t>
        </is>
      </c>
    </row>
    <row r="1956">
      <c r="A1956" t="n">
        <v>2</v>
      </c>
      <c r="B1956" s="33" t="inlineStr">
        <is>
          <t>S13</t>
        </is>
      </c>
      <c r="C1956" t="inlineStr">
        <is>
          <t>WG-A</t>
        </is>
      </c>
      <c r="D1956" t="n">
        <v>2</v>
      </c>
      <c r="E1956" t="inlineStr">
        <is>
          <t>F0232</t>
        </is>
      </c>
      <c r="F1956" t="inlineStr">
        <is>
          <t>新北市泰山區南林路102號旁工地</t>
        </is>
      </c>
      <c r="G1956" t="n">
        <v>25.0513034</v>
      </c>
      <c r="H1956" t="n">
        <v>121.4152927</v>
      </c>
      <c r="I1956" t="n">
        <v>8</v>
      </c>
      <c r="J1956" t="n">
        <v>3.8</v>
      </c>
      <c r="K1956" t="n">
        <v>24.7</v>
      </c>
      <c r="L1956" t="inlineStr">
        <is>
          <t>Primary</t>
        </is>
      </c>
    </row>
    <row r="1957">
      <c r="A1957" t="n">
        <v>2</v>
      </c>
      <c r="B1957" s="33" t="inlineStr">
        <is>
          <t>S13</t>
        </is>
      </c>
      <c r="C1957" t="inlineStr">
        <is>
          <t>WG-A</t>
        </is>
      </c>
      <c r="D1957" t="n">
        <v>3</v>
      </c>
      <c r="E1957" t="inlineStr">
        <is>
          <t>F0233</t>
        </is>
      </c>
      <c r="F1957" t="inlineStr">
        <is>
          <t>新北市泰山區南林路102號旁巷子工地-設備棟-A棟-2F</t>
        </is>
      </c>
      <c r="G1957" t="n">
        <v>25.0513034</v>
      </c>
      <c r="H1957" t="n">
        <v>121.4152927</v>
      </c>
      <c r="I1957" t="n">
        <v>22</v>
      </c>
      <c r="J1957" t="n">
        <v>2</v>
      </c>
      <c r="K1957" t="n">
        <v>48.7</v>
      </c>
      <c r="L1957" t="inlineStr">
        <is>
          <t>Primary</t>
        </is>
      </c>
    </row>
    <row r="1958">
      <c r="A1958" t="n">
        <v>2</v>
      </c>
      <c r="B1958" s="33" t="inlineStr">
        <is>
          <t>S13</t>
        </is>
      </c>
      <c r="C1958" t="inlineStr">
        <is>
          <t>WG-A</t>
        </is>
      </c>
      <c r="D1958" t="n">
        <v>4</v>
      </c>
      <c r="E1958" t="inlineStr">
        <is>
          <t>F0234</t>
        </is>
      </c>
      <c r="F1958" t="inlineStr">
        <is>
          <t>新北市泰山區南林路102號旁巷子工地-設備棟-A棟-4F</t>
        </is>
      </c>
      <c r="G1958" t="n">
        <v>25.0513034</v>
      </c>
      <c r="H1958" t="n">
        <v>121.4152927</v>
      </c>
      <c r="I1958" t="n">
        <v>24</v>
      </c>
      <c r="J1958" t="n">
        <v>2</v>
      </c>
      <c r="K1958" t="n">
        <v>74.7</v>
      </c>
      <c r="L1958" t="inlineStr">
        <is>
          <t>Primary</t>
        </is>
      </c>
    </row>
    <row r="1959">
      <c r="A1959" t="n">
        <v>2</v>
      </c>
      <c r="B1959" s="33" t="inlineStr">
        <is>
          <t>S13</t>
        </is>
      </c>
      <c r="C1959" t="inlineStr">
        <is>
          <t>WG-A</t>
        </is>
      </c>
      <c r="D1959" t="n">
        <v>5</v>
      </c>
      <c r="E1959" t="inlineStr">
        <is>
          <t>F0235</t>
        </is>
      </c>
      <c r="F1959" t="inlineStr">
        <is>
          <t>新北市泰山區南林路102號旁巷子工地-電聯定位-1F</t>
        </is>
      </c>
      <c r="G1959" t="n">
        <v>25.0513034</v>
      </c>
      <c r="H1959" t="n">
        <v>121.4152927</v>
      </c>
      <c r="I1959" t="n">
        <v>144</v>
      </c>
      <c r="J1959" t="n">
        <v>2</v>
      </c>
      <c r="K1959" t="n">
        <v>220.7</v>
      </c>
      <c r="L1959" t="inlineStr">
        <is>
          <t>Primary</t>
        </is>
      </c>
    </row>
    <row r="1960">
      <c r="A1960" t="n">
        <v>2</v>
      </c>
      <c r="B1960" s="33" t="inlineStr">
        <is>
          <t>S13</t>
        </is>
      </c>
      <c r="C1960" t="inlineStr">
        <is>
          <t>WG-A</t>
        </is>
      </c>
      <c r="D1960" t="n">
        <v>6</v>
      </c>
      <c r="E1960" t="inlineStr">
        <is>
          <t>F0236</t>
        </is>
      </c>
      <c r="F1960" t="inlineStr">
        <is>
          <t>新北市泰山區南林路102號旁巷子工地-廢水棟-B棟-2F-3F</t>
        </is>
      </c>
      <c r="G1960" t="n">
        <v>25.0513034</v>
      </c>
      <c r="H1960" t="n">
        <v>121.4152927</v>
      </c>
      <c r="I1960" t="n">
        <v>23</v>
      </c>
      <c r="J1960" t="n">
        <v>2</v>
      </c>
      <c r="K1960" t="n">
        <v>245.7</v>
      </c>
      <c r="L1960" t="inlineStr">
        <is>
          <t>Primary</t>
        </is>
      </c>
    </row>
    <row r="1961">
      <c r="A1961" t="n">
        <v>2</v>
      </c>
      <c r="B1961" s="33" t="inlineStr">
        <is>
          <t>S13</t>
        </is>
      </c>
      <c r="C1961" t="inlineStr">
        <is>
          <t>WG-A</t>
        </is>
      </c>
      <c r="D1961" t="n">
        <v>7</v>
      </c>
      <c r="E1961" t="inlineStr">
        <is>
          <t>F0237</t>
        </is>
      </c>
      <c r="F1961" t="inlineStr">
        <is>
          <t>新北市泰山區南林路102號旁巷子工地-廢水棟-B棟-4F-另一支支管</t>
        </is>
      </c>
      <c r="G1961" t="n">
        <v>25.0513034</v>
      </c>
      <c r="H1961" t="n">
        <v>121.4152927</v>
      </c>
      <c r="I1961" t="n">
        <v>12</v>
      </c>
      <c r="J1961" t="n">
        <v>2</v>
      </c>
      <c r="K1961" t="n">
        <v>259.7</v>
      </c>
      <c r="L1961" t="inlineStr">
        <is>
          <t>Primary</t>
        </is>
      </c>
    </row>
    <row r="1962">
      <c r="A1962" t="n">
        <v>2</v>
      </c>
      <c r="B1962" s="33" t="inlineStr">
        <is>
          <t>S13</t>
        </is>
      </c>
      <c r="C1962" t="inlineStr">
        <is>
          <t>WG-A</t>
        </is>
      </c>
      <c r="D1962" t="n">
        <v>8</v>
      </c>
      <c r="E1962" t="inlineStr">
        <is>
          <t>F0238</t>
        </is>
      </c>
      <c r="F1962" t="inlineStr">
        <is>
          <t>新北市泰山區南林路102號旁巷子工地-廢水棟-B棟-5F-另一支支管</t>
        </is>
      </c>
      <c r="G1962" t="n">
        <v>25.0513034</v>
      </c>
      <c r="H1962" t="n">
        <v>121.4152927</v>
      </c>
      <c r="I1962" t="n">
        <v>12</v>
      </c>
      <c r="J1962" t="n">
        <v>2</v>
      </c>
      <c r="K1962" t="n">
        <v>273.7</v>
      </c>
      <c r="L1962" t="inlineStr">
        <is>
          <t>Primary</t>
        </is>
      </c>
    </row>
    <row r="1963">
      <c r="A1963" t="n">
        <v>2</v>
      </c>
      <c r="B1963" s="33" t="inlineStr">
        <is>
          <t>S13</t>
        </is>
      </c>
      <c r="C1963" t="inlineStr">
        <is>
          <t>WG-A</t>
        </is>
      </c>
      <c r="D1963" t="n">
        <v>9</v>
      </c>
      <c r="E1963" t="inlineStr">
        <is>
          <t>F0235</t>
        </is>
      </c>
      <c r="F1963" t="inlineStr">
        <is>
          <t>新北市泰山區南林路102號旁巷子工地-電聯定位-1F</t>
        </is>
      </c>
      <c r="G1963" t="n">
        <v>25.0513034</v>
      </c>
      <c r="H1963" t="n">
        <v>121.4152927</v>
      </c>
      <c r="I1963" t="n">
        <v>144</v>
      </c>
      <c r="J1963" t="n">
        <v>2</v>
      </c>
      <c r="K1963" t="n">
        <v>419.7</v>
      </c>
      <c r="L1963" t="inlineStr">
        <is>
          <t>Primary</t>
        </is>
      </c>
    </row>
    <row r="1964">
      <c r="A1964" t="n">
        <v>2</v>
      </c>
      <c r="B1964" s="33" t="inlineStr">
        <is>
          <t>S13</t>
        </is>
      </c>
      <c r="C1964" t="inlineStr">
        <is>
          <t>WG-A</t>
        </is>
      </c>
      <c r="D1964" t="n">
        <v>10</v>
      </c>
      <c r="E1964" t="inlineStr">
        <is>
          <t>F0230</t>
        </is>
      </c>
      <c r="F1964" t="inlineStr">
        <is>
          <t>新北市泰山區明志路三段74巷-25°02'31.2"N 121°25'25.8"E</t>
        </is>
      </c>
      <c r="G1964" t="n">
        <v>25.0417123</v>
      </c>
      <c r="H1964" t="n">
        <v>121.4238531</v>
      </c>
      <c r="I1964" t="n">
        <v>8</v>
      </c>
      <c r="J1964" t="n">
        <v>3.3</v>
      </c>
      <c r="K1964" t="n">
        <v>431</v>
      </c>
      <c r="L1964" t="inlineStr">
        <is>
          <t>Primary</t>
        </is>
      </c>
    </row>
    <row r="1965">
      <c r="A1965" t="n">
        <v>2</v>
      </c>
      <c r="B1965" s="33" t="inlineStr">
        <is>
          <t>S13</t>
        </is>
      </c>
      <c r="C1965" t="inlineStr">
        <is>
          <t>WG-A</t>
        </is>
      </c>
      <c r="D1965" t="n">
        <v>11</v>
      </c>
      <c r="E1965" t="inlineStr">
        <is>
          <t>F0301</t>
        </is>
      </c>
      <c r="F1965" t="inlineStr">
        <is>
          <t>新北市新莊區潭底溝抽水站</t>
        </is>
      </c>
      <c r="G1965" t="n">
        <v>25.024974</v>
      </c>
      <c r="H1965" t="n">
        <v>121.430745</v>
      </c>
      <c r="I1965" t="n">
        <v>16</v>
      </c>
      <c r="J1965" t="n">
        <v>4.8</v>
      </c>
      <c r="K1965" t="n">
        <v>451.7</v>
      </c>
      <c r="L1965" t="inlineStr">
        <is>
          <t>Primary</t>
        </is>
      </c>
    </row>
    <row r="1966">
      <c r="A1966" t="n">
        <v>2</v>
      </c>
      <c r="B1966" s="33" t="inlineStr">
        <is>
          <t>S13</t>
        </is>
      </c>
      <c r="C1966" t="inlineStr">
        <is>
          <t>WG-C</t>
        </is>
      </c>
      <c r="D1966" t="n">
        <v>12</v>
      </c>
      <c r="E1966" t="inlineStr">
        <is>
          <t>F0286</t>
        </is>
      </c>
      <c r="F1966" t="inlineStr">
        <is>
          <t>新北市新莊區(近泰山區 )中正路905號</t>
        </is>
      </c>
      <c r="G1966" t="n">
        <v>25.0212647</v>
      </c>
      <c r="H1966" t="n">
        <v>121.4111485</v>
      </c>
      <c r="I1966" t="n">
        <v>8</v>
      </c>
      <c r="J1966" t="n">
        <v>4.8</v>
      </c>
      <c r="K1966" t="n">
        <v>464.6</v>
      </c>
      <c r="L1966" t="inlineStr">
        <is>
          <t>Primary</t>
        </is>
      </c>
    </row>
    <row r="1967">
      <c r="A1967" t="n">
        <v>2</v>
      </c>
      <c r="B1967" s="33" t="inlineStr">
        <is>
          <t>S13</t>
        </is>
      </c>
      <c r="C1967" t="inlineStr">
        <is>
          <t>WG-D</t>
        </is>
      </c>
      <c r="D1967" t="n">
        <v>13</v>
      </c>
      <c r="E1967" t="inlineStr">
        <is>
          <t>H0834</t>
        </is>
      </c>
      <c r="F1967" t="inlineStr">
        <is>
          <t>桃園市龜山區(新莊區)萬壽路一段45號</t>
        </is>
      </c>
      <c r="G1967" t="n">
        <v>25.0203519</v>
      </c>
      <c r="H1967" t="n">
        <v>121.4099372</v>
      </c>
      <c r="I1967" t="n">
        <v>8</v>
      </c>
      <c r="J1967" t="n">
        <v>3</v>
      </c>
      <c r="K1967" t="n">
        <v>475.6</v>
      </c>
      <c r="L1967" t="inlineStr">
        <is>
          <t>Primary</t>
        </is>
      </c>
    </row>
    <row r="1968">
      <c r="A1968" t="n">
        <v>2</v>
      </c>
      <c r="B1968" s="33" t="inlineStr">
        <is>
          <t>S13</t>
        </is>
      </c>
      <c r="C1968" t="inlineStr">
        <is>
          <t>WG-C</t>
        </is>
      </c>
      <c r="D1968" t="n">
        <v>14</v>
      </c>
      <c r="E1968" t="inlineStr">
        <is>
          <t>F0289</t>
        </is>
      </c>
      <c r="F1968" t="inlineStr">
        <is>
          <t>新北市新莊區中正路655號</t>
        </is>
      </c>
      <c r="G1968" t="n">
        <v>25.0128496</v>
      </c>
      <c r="H1968" t="n">
        <v>121.4122582</v>
      </c>
      <c r="I1968" t="n">
        <v>16</v>
      </c>
      <c r="J1968" t="n">
        <v>3</v>
      </c>
      <c r="K1968" t="n">
        <v>494.6</v>
      </c>
      <c r="L1968" t="inlineStr">
        <is>
          <t>Primary</t>
        </is>
      </c>
    </row>
    <row r="1969">
      <c r="A1969" t="n">
        <v>2</v>
      </c>
      <c r="B1969" s="33" t="inlineStr">
        <is>
          <t>S13</t>
        </is>
      </c>
      <c r="C1969" t="inlineStr">
        <is>
          <t>WG-A</t>
        </is>
      </c>
      <c r="D1969" t="n">
        <v>15</v>
      </c>
      <c r="E1969" t="inlineStr">
        <is>
          <t>F0310</t>
        </is>
      </c>
      <c r="F1969" t="inlineStr">
        <is>
          <t>新北市樹林區(近新莊)工興街39號</t>
        </is>
      </c>
      <c r="G1969" t="n">
        <v>25.012496</v>
      </c>
      <c r="H1969" t="n">
        <v>121.4007587</v>
      </c>
      <c r="I1969" t="n">
        <v>8</v>
      </c>
      <c r="J1969" t="n">
        <v>3</v>
      </c>
      <c r="K1969" t="n">
        <v>505.6</v>
      </c>
      <c r="L1969" t="inlineStr">
        <is>
          <t>Primary</t>
        </is>
      </c>
    </row>
    <row r="1970">
      <c r="A1970" t="n">
        <v>2</v>
      </c>
      <c r="B1970" s="33" t="inlineStr">
        <is>
          <t>S13</t>
        </is>
      </c>
      <c r="C1970" t="inlineStr">
        <is>
          <t>WG-A</t>
        </is>
      </c>
      <c r="D1970" t="n">
        <v>16</v>
      </c>
      <c r="E1970" t="inlineStr">
        <is>
          <t>F0298</t>
        </is>
      </c>
      <c r="F1970" t="inlineStr">
        <is>
          <t>新北市新莊區碧江街18號旁工地</t>
        </is>
      </c>
      <c r="G1970" t="n">
        <v>25.0350104</v>
      </c>
      <c r="H1970" t="n">
        <v>121.4554937</v>
      </c>
      <c r="I1970" t="n">
        <v>8</v>
      </c>
      <c r="J1970" t="n">
        <v>14.5</v>
      </c>
      <c r="K1970" t="n">
        <v>528.1</v>
      </c>
      <c r="L1970" t="inlineStr">
        <is>
          <t>Primary</t>
        </is>
      </c>
    </row>
    <row r="1971">
      <c r="A1971" t="n">
        <v>3</v>
      </c>
      <c r="B1971" s="33" t="inlineStr">
        <is>
          <t>S13</t>
        </is>
      </c>
      <c r="C1971" t="inlineStr">
        <is>
          <t>WG-B</t>
        </is>
      </c>
      <c r="D1971" t="n">
        <v>1</v>
      </c>
      <c r="E1971" t="inlineStr">
        <is>
          <t>A0152</t>
        </is>
      </c>
      <c r="F1971" t="inlineStr">
        <is>
          <t>臺北市北投區大度路３段301巷&amp;知行路245巷工地</t>
        </is>
      </c>
      <c r="G1971" t="n">
        <v>25.1208759</v>
      </c>
      <c r="H1971" t="n">
        <v>121.4658119</v>
      </c>
      <c r="I1971" t="n">
        <v>8</v>
      </c>
      <c r="J1971" t="n">
        <v>14.7</v>
      </c>
      <c r="K1971" t="n">
        <v>22.7</v>
      </c>
      <c r="L1971" t="inlineStr">
        <is>
          <t>Primary</t>
        </is>
      </c>
    </row>
    <row r="1972">
      <c r="A1972" t="n">
        <v>3</v>
      </c>
      <c r="B1972" s="33" t="inlineStr">
        <is>
          <t>S13</t>
        </is>
      </c>
      <c r="C1972" t="inlineStr">
        <is>
          <t>WG-B</t>
        </is>
      </c>
      <c r="D1972" t="n">
        <v>2</v>
      </c>
      <c r="E1972" t="inlineStr">
        <is>
          <t>A0154</t>
        </is>
      </c>
      <c r="F1972" t="inlineStr">
        <is>
          <t>臺北市北投區中央北路二段334號旁</t>
        </is>
      </c>
      <c r="G1972" t="n">
        <v>25.1385776</v>
      </c>
      <c r="H1972" t="n">
        <v>121.4894603</v>
      </c>
      <c r="I1972" t="n">
        <v>8</v>
      </c>
      <c r="J1972" t="n">
        <v>7.4</v>
      </c>
      <c r="K1972" t="n">
        <v>38.1</v>
      </c>
      <c r="L1972" t="inlineStr">
        <is>
          <t>Primary</t>
        </is>
      </c>
    </row>
    <row r="1973">
      <c r="A1973" t="n">
        <v>3</v>
      </c>
      <c r="B1973" s="33" t="inlineStr">
        <is>
          <t>S13</t>
        </is>
      </c>
      <c r="C1973" t="inlineStr">
        <is>
          <t>WG-B</t>
        </is>
      </c>
      <c r="D1973" t="n">
        <v>3</v>
      </c>
      <c r="E1973" t="inlineStr">
        <is>
          <t>A0151</t>
        </is>
      </c>
      <c r="F1973" t="inlineStr">
        <is>
          <t>臺北市北投區大同街303號</t>
        </is>
      </c>
      <c r="G1973" t="n">
        <v>25.1399079</v>
      </c>
      <c r="H1973" t="n">
        <v>121.4992547</v>
      </c>
      <c r="I1973" t="n">
        <v>16</v>
      </c>
      <c r="J1973" t="n">
        <v>3</v>
      </c>
      <c r="K1973" t="n">
        <v>57.1</v>
      </c>
      <c r="L1973" t="inlineStr">
        <is>
          <t>Primary</t>
        </is>
      </c>
    </row>
    <row r="1974">
      <c r="A1974" t="n">
        <v>3</v>
      </c>
      <c r="B1974" s="33" t="inlineStr">
        <is>
          <t>S13</t>
        </is>
      </c>
      <c r="C1974" t="inlineStr">
        <is>
          <t>WG-B</t>
        </is>
      </c>
      <c r="D1974" t="n">
        <v>4</v>
      </c>
      <c r="E1974" t="inlineStr">
        <is>
          <t>A0172</t>
        </is>
      </c>
      <c r="F1974" t="inlineStr">
        <is>
          <t>臺北市北投區長壽路21號對面</t>
        </is>
      </c>
      <c r="G1974" t="n">
        <v>25.1426465</v>
      </c>
      <c r="H1974" t="n">
        <v>121.5041588</v>
      </c>
      <c r="I1974" t="n">
        <v>8</v>
      </c>
      <c r="J1974" t="n">
        <v>3</v>
      </c>
      <c r="K1974" t="n">
        <v>68.09999999999999</v>
      </c>
      <c r="L1974" t="inlineStr">
        <is>
          <t>Primary</t>
        </is>
      </c>
    </row>
    <row r="1975">
      <c r="A1975" t="n">
        <v>3</v>
      </c>
      <c r="B1975" s="33" t="inlineStr">
        <is>
          <t>S13</t>
        </is>
      </c>
      <c r="C1975" t="inlineStr">
        <is>
          <t>WG-B</t>
        </is>
      </c>
      <c r="D1975" t="n">
        <v>5</v>
      </c>
      <c r="E1975" t="inlineStr">
        <is>
          <t>A0174</t>
        </is>
      </c>
      <c r="F1975" t="inlineStr">
        <is>
          <t>臺北市北投區新民路55之6號</t>
        </is>
      </c>
      <c r="G1975" t="n">
        <v>25.1403181</v>
      </c>
      <c r="H1975" t="n">
        <v>121.5109075</v>
      </c>
      <c r="I1975" t="n">
        <v>8</v>
      </c>
      <c r="J1975" t="n">
        <v>3</v>
      </c>
      <c r="K1975" t="n">
        <v>79.09999999999999</v>
      </c>
      <c r="L1975" t="inlineStr">
        <is>
          <t>Primary</t>
        </is>
      </c>
    </row>
    <row r="1976">
      <c r="A1976" t="n">
        <v>3</v>
      </c>
      <c r="B1976" s="33" t="inlineStr">
        <is>
          <t>S13</t>
        </is>
      </c>
      <c r="C1976" t="inlineStr">
        <is>
          <t>WG-B</t>
        </is>
      </c>
      <c r="D1976" t="n">
        <v>6</v>
      </c>
      <c r="E1976" t="inlineStr">
        <is>
          <t>A0173</t>
        </is>
      </c>
      <c r="F1976" t="inlineStr">
        <is>
          <t>臺北市北投區新民路&amp;泉源路交叉口(靠近林泉公園)</t>
        </is>
      </c>
      <c r="G1976" t="n">
        <v>25.1413103</v>
      </c>
      <c r="H1976" t="n">
        <v>121.5148235</v>
      </c>
      <c r="I1976" t="n">
        <v>16</v>
      </c>
      <c r="J1976" t="n">
        <v>3</v>
      </c>
      <c r="K1976" t="n">
        <v>98.09999999999999</v>
      </c>
      <c r="L1976" t="inlineStr">
        <is>
          <t>Primary</t>
        </is>
      </c>
    </row>
    <row r="1977">
      <c r="A1977" t="n">
        <v>3</v>
      </c>
      <c r="B1977" s="33" t="inlineStr">
        <is>
          <t>S13</t>
        </is>
      </c>
      <c r="C1977" t="inlineStr">
        <is>
          <t>WG-B</t>
        </is>
      </c>
      <c r="D1977" t="n">
        <v>7</v>
      </c>
      <c r="E1977" t="inlineStr">
        <is>
          <t>A0166</t>
        </is>
      </c>
      <c r="F1977" t="inlineStr">
        <is>
          <t>臺北市北投區行義路196號</t>
        </is>
      </c>
      <c r="G1977" t="n">
        <v>25.1336402</v>
      </c>
      <c r="H1977" t="n">
        <v>121.5287374</v>
      </c>
      <c r="I1977" t="n">
        <v>8</v>
      </c>
      <c r="J1977" t="n">
        <v>3.9</v>
      </c>
      <c r="K1977" t="n">
        <v>110</v>
      </c>
      <c r="L1977" t="inlineStr">
        <is>
          <t>Primary</t>
        </is>
      </c>
    </row>
    <row r="1978">
      <c r="A1978" t="n">
        <v>3</v>
      </c>
      <c r="B1978" s="33" t="inlineStr">
        <is>
          <t>S13</t>
        </is>
      </c>
      <c r="C1978" t="inlineStr">
        <is>
          <t>WG-B</t>
        </is>
      </c>
      <c r="D1978" t="n">
        <v>8</v>
      </c>
      <c r="E1978" t="inlineStr">
        <is>
          <t>A0165</t>
        </is>
      </c>
      <c r="F1978" t="inlineStr">
        <is>
          <t>臺北市北投區行義路173號</t>
        </is>
      </c>
      <c r="G1978" t="n">
        <v>25.1320124</v>
      </c>
      <c r="H1978" t="n">
        <v>121.5281004</v>
      </c>
      <c r="I1978" t="n">
        <v>8</v>
      </c>
      <c r="J1978" t="n">
        <v>3</v>
      </c>
      <c r="K1978" t="n">
        <v>121</v>
      </c>
      <c r="L1978" t="inlineStr">
        <is>
          <t>Primary</t>
        </is>
      </c>
    </row>
    <row r="1979">
      <c r="A1979" t="n">
        <v>3</v>
      </c>
      <c r="B1979" s="33" t="inlineStr">
        <is>
          <t>S13</t>
        </is>
      </c>
      <c r="C1979" t="inlineStr">
        <is>
          <t>WG-B</t>
        </is>
      </c>
      <c r="D1979" t="n">
        <v>9</v>
      </c>
      <c r="E1979" t="inlineStr">
        <is>
          <t>A0164</t>
        </is>
      </c>
      <c r="F1979" t="inlineStr">
        <is>
          <t>臺北市北投區行義路154巷19弄工地-電聯定位</t>
        </is>
      </c>
      <c r="G1979" t="n">
        <v>25.1308929</v>
      </c>
      <c r="H1979" t="n">
        <v>121.5297901</v>
      </c>
      <c r="I1979" t="n">
        <v>8</v>
      </c>
      <c r="J1979" t="n">
        <v>3</v>
      </c>
      <c r="K1979" t="n">
        <v>132</v>
      </c>
      <c r="L1979" t="inlineStr">
        <is>
          <t>Primary</t>
        </is>
      </c>
    </row>
    <row r="1980">
      <c r="A1980" t="n">
        <v>3</v>
      </c>
      <c r="B1980" s="33" t="inlineStr">
        <is>
          <t>S13</t>
        </is>
      </c>
      <c r="C1980" t="inlineStr">
        <is>
          <t>WG-B</t>
        </is>
      </c>
      <c r="D1980" t="n">
        <v>10</v>
      </c>
      <c r="E1980" t="inlineStr">
        <is>
          <t>A0158</t>
        </is>
      </c>
      <c r="F1980" t="inlineStr">
        <is>
          <t>臺北市北投區公館路255巷17弄17號</t>
        </is>
      </c>
      <c r="G1980" t="n">
        <v>25.1262196</v>
      </c>
      <c r="H1980" t="n">
        <v>121.5098118</v>
      </c>
      <c r="I1980" t="n">
        <v>8</v>
      </c>
      <c r="J1980" t="n">
        <v>5</v>
      </c>
      <c r="K1980" t="n">
        <v>145</v>
      </c>
      <c r="L1980" t="inlineStr">
        <is>
          <t>Primary</t>
        </is>
      </c>
    </row>
    <row r="1981">
      <c r="A1981" t="n">
        <v>3</v>
      </c>
      <c r="B1981" s="33" t="inlineStr">
        <is>
          <t>S13</t>
        </is>
      </c>
      <c r="C1981" t="inlineStr">
        <is>
          <t>WG-B</t>
        </is>
      </c>
      <c r="D1981" t="n">
        <v>11</v>
      </c>
      <c r="E1981" t="inlineStr">
        <is>
          <t>A0157</t>
        </is>
      </c>
      <c r="F1981" t="inlineStr">
        <is>
          <t>臺北市北投區公館路228巷&amp;350巷交叉口</t>
        </is>
      </c>
      <c r="G1981" t="n">
        <v>25.1252893</v>
      </c>
      <c r="H1981" t="n">
        <v>121.5058834</v>
      </c>
      <c r="I1981" t="n">
        <v>8</v>
      </c>
      <c r="J1981" t="n">
        <v>3</v>
      </c>
      <c r="K1981" t="n">
        <v>156</v>
      </c>
      <c r="L1981" t="inlineStr">
        <is>
          <t>Primary</t>
        </is>
      </c>
    </row>
    <row r="1982">
      <c r="A1982" t="n">
        <v>3</v>
      </c>
      <c r="B1982" s="33" t="inlineStr">
        <is>
          <t>S13</t>
        </is>
      </c>
      <c r="C1982" t="inlineStr">
        <is>
          <t>WG-B</t>
        </is>
      </c>
      <c r="D1982" t="n">
        <v>12</v>
      </c>
      <c r="E1982" t="inlineStr">
        <is>
          <t>A0155</t>
        </is>
      </c>
      <c r="F1982" t="inlineStr">
        <is>
          <t>臺北市北投區中央南路一段160號</t>
        </is>
      </c>
      <c r="G1982" t="n">
        <v>25.1294334</v>
      </c>
      <c r="H1982" t="n">
        <v>121.5009411</v>
      </c>
      <c r="I1982" t="n">
        <v>16</v>
      </c>
      <c r="J1982" t="n">
        <v>3</v>
      </c>
      <c r="K1982" t="n">
        <v>175</v>
      </c>
      <c r="L1982" t="inlineStr">
        <is>
          <t>Primary</t>
        </is>
      </c>
    </row>
    <row r="1983">
      <c r="A1983" t="n">
        <v>3</v>
      </c>
      <c r="B1983" s="33" t="inlineStr">
        <is>
          <t>S13</t>
        </is>
      </c>
      <c r="C1983" t="inlineStr">
        <is>
          <t>WG-B</t>
        </is>
      </c>
      <c r="D1983" t="n">
        <v>13</v>
      </c>
      <c r="E1983" t="inlineStr">
        <is>
          <t>A0162</t>
        </is>
      </c>
      <c r="F1983" t="inlineStr">
        <is>
          <t>臺北市北投區光明路2巷</t>
        </is>
      </c>
      <c r="G1983" t="n">
        <v>25.1313565</v>
      </c>
      <c r="H1983" t="n">
        <v>121.4995194</v>
      </c>
      <c r="I1983" t="n">
        <v>16</v>
      </c>
      <c r="J1983" t="n">
        <v>3</v>
      </c>
      <c r="K1983" t="n">
        <v>194</v>
      </c>
      <c r="L1983" t="inlineStr">
        <is>
          <t>Primary</t>
        </is>
      </c>
    </row>
    <row r="1984">
      <c r="A1984" t="n">
        <v>3</v>
      </c>
      <c r="B1984" s="33" t="inlineStr">
        <is>
          <t>S13</t>
        </is>
      </c>
      <c r="C1984" t="inlineStr">
        <is>
          <t>WG-B</t>
        </is>
      </c>
      <c r="D1984" t="n">
        <v>14</v>
      </c>
      <c r="E1984" t="inlineStr">
        <is>
          <t>F0243</t>
        </is>
      </c>
      <c r="F1984" t="inlineStr">
        <is>
          <t>新北市淡水區八勢一街&amp;中正東路二段交叉口-工地</t>
        </is>
      </c>
      <c r="G1984" t="n">
        <v>25.1559993</v>
      </c>
      <c r="H1984" t="n">
        <v>121.459317</v>
      </c>
      <c r="I1984" t="n">
        <v>8</v>
      </c>
      <c r="J1984" t="n">
        <v>11.7</v>
      </c>
      <c r="K1984" t="n">
        <v>213.7</v>
      </c>
      <c r="L1984" t="inlineStr">
        <is>
          <t>Primary</t>
        </is>
      </c>
    </row>
    <row r="1985">
      <c r="A1985" t="n">
        <v>3</v>
      </c>
      <c r="B1985" s="33" t="inlineStr">
        <is>
          <t>S13</t>
        </is>
      </c>
      <c r="C1985" t="inlineStr">
        <is>
          <t>WG-B</t>
        </is>
      </c>
      <c r="D1985" t="n">
        <v>15</v>
      </c>
      <c r="E1985" t="inlineStr">
        <is>
          <t>F0251</t>
        </is>
      </c>
      <c r="F1985" t="inlineStr">
        <is>
          <t>新北市淡水區坪頂路72巷5號對面</t>
        </is>
      </c>
      <c r="G1985" t="n">
        <v>25.1631361</v>
      </c>
      <c r="H1985" t="n">
        <v>121.4618298</v>
      </c>
      <c r="I1985" t="n">
        <v>16</v>
      </c>
      <c r="J1985" t="n">
        <v>3</v>
      </c>
      <c r="K1985" t="n">
        <v>232.7</v>
      </c>
      <c r="L1985" t="inlineStr">
        <is>
          <t>Primary</t>
        </is>
      </c>
    </row>
    <row r="1986">
      <c r="A1986" t="n">
        <v>3</v>
      </c>
      <c r="B1986" s="33" t="inlineStr">
        <is>
          <t>S13</t>
        </is>
      </c>
      <c r="C1986" t="inlineStr">
        <is>
          <t>WG-B</t>
        </is>
      </c>
      <c r="D1986" t="n">
        <v>16</v>
      </c>
      <c r="E1986" t="inlineStr">
        <is>
          <t>F0246</t>
        </is>
      </c>
      <c r="F1986" t="inlineStr">
        <is>
          <t>新北市淡水區中正東路1段42巷進去工地</t>
        </is>
      </c>
      <c r="G1986" t="n">
        <v>25.168715</v>
      </c>
      <c r="H1986" t="n">
        <v>121.4454951</v>
      </c>
      <c r="I1986" t="n">
        <v>40</v>
      </c>
      <c r="J1986" t="n">
        <v>4.2</v>
      </c>
      <c r="K1986" t="n">
        <v>276.9</v>
      </c>
      <c r="L1986" t="inlineStr">
        <is>
          <t>Primary</t>
        </is>
      </c>
    </row>
    <row r="1987">
      <c r="A1987" t="n">
        <v>3</v>
      </c>
      <c r="B1987" s="33" t="inlineStr">
        <is>
          <t>S13</t>
        </is>
      </c>
      <c r="C1987" t="inlineStr">
        <is>
          <t>WG-B</t>
        </is>
      </c>
      <c r="D1987" t="n">
        <v>17</v>
      </c>
      <c r="E1987" t="inlineStr">
        <is>
          <t>F0245</t>
        </is>
      </c>
      <c r="F1987" t="inlineStr">
        <is>
          <t>新北市淡水區中山北路２段163號旁工地</t>
        </is>
      </c>
      <c r="G1987" t="n">
        <v>25.1843421</v>
      </c>
      <c r="H1987" t="n">
        <v>121.4441353</v>
      </c>
      <c r="I1987" t="n">
        <v>8</v>
      </c>
      <c r="J1987" t="n">
        <v>4.2</v>
      </c>
      <c r="K1987" t="n">
        <v>289.1</v>
      </c>
      <c r="L1987" t="inlineStr">
        <is>
          <t>Primary</t>
        </is>
      </c>
    </row>
    <row r="1988">
      <c r="A1988" t="n">
        <v>3</v>
      </c>
      <c r="B1988" s="33" t="inlineStr">
        <is>
          <t>S13</t>
        </is>
      </c>
      <c r="C1988" t="inlineStr">
        <is>
          <t>WG-B</t>
        </is>
      </c>
      <c r="D1988" t="n">
        <v>18</v>
      </c>
      <c r="E1988" t="inlineStr">
        <is>
          <t>F0256</t>
        </is>
      </c>
      <c r="F1988" t="inlineStr">
        <is>
          <t>新北市淡水區濱海路1段61號附近</t>
        </is>
      </c>
      <c r="G1988" t="n">
        <v>25.1889336</v>
      </c>
      <c r="H1988" t="n">
        <v>121.44297</v>
      </c>
      <c r="I1988" t="n">
        <v>32</v>
      </c>
      <c r="J1988" t="n">
        <v>3</v>
      </c>
      <c r="K1988" t="n">
        <v>324.1</v>
      </c>
      <c r="L1988" t="inlineStr">
        <is>
          <t>Primary</t>
        </is>
      </c>
    </row>
    <row r="1989">
      <c r="A1989" t="n">
        <v>3</v>
      </c>
      <c r="B1989" s="33" t="inlineStr">
        <is>
          <t>S13</t>
        </is>
      </c>
      <c r="C1989" t="inlineStr">
        <is>
          <t>WG-B</t>
        </is>
      </c>
      <c r="D1989" t="n">
        <v>19</v>
      </c>
      <c r="E1989" t="inlineStr">
        <is>
          <t>F0253</t>
        </is>
      </c>
      <c r="F1989" t="inlineStr">
        <is>
          <t>新北市淡水區新市二路３段82號 1樓(202巷)</t>
        </is>
      </c>
      <c r="G1989" t="n">
        <v>25.1933663</v>
      </c>
      <c r="H1989" t="n">
        <v>121.434533</v>
      </c>
      <c r="I1989" t="n">
        <v>8</v>
      </c>
      <c r="J1989" t="n">
        <v>3</v>
      </c>
      <c r="K1989" t="n">
        <v>335.1</v>
      </c>
      <c r="L1989" t="inlineStr">
        <is>
          <t>Primary</t>
        </is>
      </c>
    </row>
    <row r="1990">
      <c r="A1990" t="n">
        <v>3</v>
      </c>
      <c r="B1990" s="33" t="inlineStr">
        <is>
          <t>S13</t>
        </is>
      </c>
      <c r="C1990" t="inlineStr">
        <is>
          <t>WG-B</t>
        </is>
      </c>
      <c r="D1990" t="n">
        <v>20</v>
      </c>
      <c r="E1990" t="inlineStr">
        <is>
          <t>F0250</t>
        </is>
      </c>
      <c r="F1990" t="inlineStr">
        <is>
          <t>新北市淡水區沙崙路一段與濱海路二段交叉口</t>
        </is>
      </c>
      <c r="G1990" t="n">
        <v>25.1904865</v>
      </c>
      <c r="H1990" t="n">
        <v>121.4305718</v>
      </c>
      <c r="I1990" t="n">
        <v>16</v>
      </c>
      <c r="J1990" t="n">
        <v>3</v>
      </c>
      <c r="K1990" t="n">
        <v>354.1</v>
      </c>
      <c r="L1990" t="inlineStr">
        <is>
          <t>Primary</t>
        </is>
      </c>
    </row>
    <row r="1991">
      <c r="A1991" t="n">
        <v>3</v>
      </c>
      <c r="B1991" s="33" t="inlineStr">
        <is>
          <t>S13</t>
        </is>
      </c>
      <c r="C1991" t="inlineStr">
        <is>
          <t>WG-B</t>
        </is>
      </c>
      <c r="D1991" t="n">
        <v>21</v>
      </c>
      <c r="E1991" t="inlineStr">
        <is>
          <t>F0023</t>
        </is>
      </c>
      <c r="F1991" t="inlineStr">
        <is>
          <t>新北市三芝區番子崙6-5號</t>
        </is>
      </c>
      <c r="G1991" t="n">
        <v>25.242063</v>
      </c>
      <c r="H1991" t="n">
        <v>121.478802</v>
      </c>
      <c r="I1991" t="n">
        <v>8</v>
      </c>
      <c r="J1991" t="n">
        <v>18</v>
      </c>
      <c r="K1991" t="n">
        <v>380.2</v>
      </c>
      <c r="L1991" t="inlineStr">
        <is>
          <t>Primary</t>
        </is>
      </c>
    </row>
    <row r="1992">
      <c r="A1992" t="n">
        <v>3</v>
      </c>
      <c r="B1992" s="33" t="inlineStr">
        <is>
          <t>S13</t>
        </is>
      </c>
      <c r="C1992" t="inlineStr">
        <is>
          <t>WG-B</t>
        </is>
      </c>
      <c r="D1992" t="n">
        <v>22</v>
      </c>
      <c r="E1992" t="inlineStr">
        <is>
          <t>F0228</t>
        </is>
      </c>
      <c r="F1992" t="inlineStr">
        <is>
          <t>新北市金山區環金路295號-湯語?泉館電聯</t>
        </is>
      </c>
      <c r="G1992" t="n">
        <v>25.2224504</v>
      </c>
      <c r="H1992" t="n">
        <v>121.6313485</v>
      </c>
      <c r="I1992" t="n">
        <v>24</v>
      </c>
      <c r="J1992" t="n">
        <v>15.5</v>
      </c>
      <c r="K1992" t="n">
        <v>419.7</v>
      </c>
      <c r="L1992" t="inlineStr">
        <is>
          <t>Primary</t>
        </is>
      </c>
    </row>
    <row r="1993">
      <c r="A1993" t="n">
        <v>3</v>
      </c>
      <c r="B1993" s="33" t="inlineStr">
        <is>
          <t>S13</t>
        </is>
      </c>
      <c r="C1993" t="inlineStr">
        <is>
          <t>WG-C</t>
        </is>
      </c>
      <c r="D1993" t="n">
        <v>23</v>
      </c>
      <c r="E1993" t="inlineStr">
        <is>
          <t>C0020</t>
        </is>
      </c>
      <c r="F1993" t="inlineStr">
        <is>
          <t>基隆市安樂區武聖街186號</t>
        </is>
      </c>
      <c r="G1993" t="n">
        <v>25.1605876</v>
      </c>
      <c r="H1993" t="n">
        <v>121.6980354</v>
      </c>
      <c r="I1993" t="n">
        <v>8</v>
      </c>
      <c r="J1993" t="n">
        <v>23.1</v>
      </c>
      <c r="K1993" t="n">
        <v>450.7</v>
      </c>
      <c r="L1993" t="inlineStr">
        <is>
          <t>Primary</t>
        </is>
      </c>
    </row>
    <row r="1994">
      <c r="A1994" t="n">
        <v>3</v>
      </c>
      <c r="B1994" s="33" t="inlineStr">
        <is>
          <t>S13</t>
        </is>
      </c>
      <c r="C1994" t="inlineStr">
        <is>
          <t>WG-C</t>
        </is>
      </c>
      <c r="D1994" t="n">
        <v>24</v>
      </c>
      <c r="E1994" t="inlineStr">
        <is>
          <t>C0022</t>
        </is>
      </c>
      <c r="F1994" t="inlineStr">
        <is>
          <t>基隆市安樂區基金一路&amp;武崙街口-2號</t>
        </is>
      </c>
      <c r="G1994" t="n">
        <v>25.1418299</v>
      </c>
      <c r="H1994" t="n">
        <v>121.7071599</v>
      </c>
      <c r="I1994" t="n">
        <v>16</v>
      </c>
      <c r="J1994" t="n">
        <v>5.5</v>
      </c>
      <c r="K1994" t="n">
        <v>472.2</v>
      </c>
      <c r="L1994" t="inlineStr">
        <is>
          <t>Primary</t>
        </is>
      </c>
    </row>
    <row r="1995">
      <c r="A1995" t="n">
        <v>3</v>
      </c>
      <c r="B1995" s="33" t="inlineStr">
        <is>
          <t>S13</t>
        </is>
      </c>
      <c r="C1995" t="inlineStr">
        <is>
          <t>WG-C</t>
        </is>
      </c>
      <c r="D1995" t="n">
        <v>25</v>
      </c>
      <c r="E1995" t="inlineStr">
        <is>
          <t>C0010</t>
        </is>
      </c>
      <c r="F1995" t="inlineStr">
        <is>
          <t>基隆市中山區復興路219號旁</t>
        </is>
      </c>
      <c r="G1995" t="n">
        <v>25.1471866</v>
      </c>
      <c r="H1995" t="n">
        <v>121.7244527</v>
      </c>
      <c r="I1995" t="n">
        <v>8</v>
      </c>
      <c r="J1995" t="n">
        <v>4.4</v>
      </c>
      <c r="K1995" t="n">
        <v>484.6</v>
      </c>
      <c r="L1995" t="inlineStr">
        <is>
          <t>Primary</t>
        </is>
      </c>
    </row>
    <row r="1996">
      <c r="A1996" t="n">
        <v>3</v>
      </c>
      <c r="B1996" s="33" t="inlineStr">
        <is>
          <t>S13</t>
        </is>
      </c>
      <c r="C1996" t="inlineStr">
        <is>
          <t>WG-C</t>
        </is>
      </c>
      <c r="D1996" t="n">
        <v>26</v>
      </c>
      <c r="E1996" t="inlineStr">
        <is>
          <t>C0008</t>
        </is>
      </c>
      <c r="F1996" t="inlineStr">
        <is>
          <t>基隆市中山區文化路164號-德和國小</t>
        </is>
      </c>
      <c r="G1996" t="n">
        <v>25.1549666</v>
      </c>
      <c r="H1996" t="n">
        <v>121.7298239</v>
      </c>
      <c r="I1996" t="n">
        <v>16</v>
      </c>
      <c r="J1996" t="n">
        <v>3</v>
      </c>
      <c r="K1996" t="n">
        <v>503.6</v>
      </c>
      <c r="L1996" t="inlineStr">
        <is>
          <t>Primary</t>
        </is>
      </c>
    </row>
    <row r="1997">
      <c r="A1997" t="n">
        <v>4</v>
      </c>
      <c r="B1997" s="33" t="inlineStr">
        <is>
          <t>S13</t>
        </is>
      </c>
      <c r="C1997" t="inlineStr">
        <is>
          <t>WG-A</t>
        </is>
      </c>
      <c r="D1997" t="n">
        <v>1</v>
      </c>
      <c r="E1997" t="inlineStr">
        <is>
          <t>F0259</t>
        </is>
      </c>
      <c r="F1997" t="inlineStr">
        <is>
          <t>新北市深坑區北深路三段93巷40號旁</t>
        </is>
      </c>
      <c r="G1997" t="n">
        <v>25.0002995</v>
      </c>
      <c r="H1997" t="n">
        <v>121.6043972</v>
      </c>
      <c r="I1997" t="n">
        <v>8</v>
      </c>
      <c r="J1997" t="n">
        <v>18.2</v>
      </c>
      <c r="K1997" t="n">
        <v>26.2</v>
      </c>
      <c r="L1997" t="inlineStr">
        <is>
          <t>Primary</t>
        </is>
      </c>
    </row>
    <row r="1998">
      <c r="A1998" t="n">
        <v>4</v>
      </c>
      <c r="B1998" s="33" t="inlineStr">
        <is>
          <t>S13</t>
        </is>
      </c>
      <c r="C1998" t="inlineStr">
        <is>
          <t>WG-A</t>
        </is>
      </c>
      <c r="D1998" t="n">
        <v>2</v>
      </c>
      <c r="E1998" t="inlineStr">
        <is>
          <t>F0258</t>
        </is>
      </c>
      <c r="F1998" t="inlineStr">
        <is>
          <t>新北市深坑區文山路一段30巷對面</t>
        </is>
      </c>
      <c r="G1998" t="n">
        <v>25.0055746</v>
      </c>
      <c r="H1998" t="n">
        <v>121.630839</v>
      </c>
      <c r="I1998" t="n">
        <v>8</v>
      </c>
      <c r="J1998" t="n">
        <v>6.5</v>
      </c>
      <c r="K1998" t="n">
        <v>40.7</v>
      </c>
      <c r="L1998" t="inlineStr">
        <is>
          <t>Primary</t>
        </is>
      </c>
    </row>
    <row r="1999">
      <c r="A1999" t="n">
        <v>4</v>
      </c>
      <c r="B1999" s="33" t="inlineStr">
        <is>
          <t>S13</t>
        </is>
      </c>
      <c r="C1999" t="inlineStr">
        <is>
          <t>WG-C</t>
        </is>
      </c>
      <c r="D1999" t="n">
        <v>3</v>
      </c>
      <c r="E1999" t="inlineStr">
        <is>
          <t>F0135</t>
        </is>
      </c>
      <c r="F1999" t="inlineStr">
        <is>
          <t>新北市汐止區東勢街6號~8號對面工地</t>
        </is>
      </c>
      <c r="G1999" t="n">
        <v>25.0388538</v>
      </c>
      <c r="H1999" t="n">
        <v>121.6246199</v>
      </c>
      <c r="I1999" t="n">
        <v>8</v>
      </c>
      <c r="J1999" t="n">
        <v>9</v>
      </c>
      <c r="K1999" t="n">
        <v>57.7</v>
      </c>
      <c r="L1999" t="inlineStr">
        <is>
          <t>Primary</t>
        </is>
      </c>
    </row>
    <row r="2000">
      <c r="A2000" t="n">
        <v>4</v>
      </c>
      <c r="B2000" s="33" t="inlineStr">
        <is>
          <t>S13</t>
        </is>
      </c>
      <c r="C2000" t="inlineStr">
        <is>
          <t>WG-C</t>
        </is>
      </c>
      <c r="D2000" t="n">
        <v>4</v>
      </c>
      <c r="E2000" t="inlineStr">
        <is>
          <t>F0134</t>
        </is>
      </c>
      <c r="F2000" t="inlineStr">
        <is>
          <t>新北市汐止區東勢街2號對面工地</t>
        </is>
      </c>
      <c r="G2000" t="n">
        <v>25.0389785</v>
      </c>
      <c r="H2000" t="n">
        <v>121.6244429</v>
      </c>
      <c r="I2000" t="n">
        <v>8</v>
      </c>
      <c r="J2000" t="n">
        <v>2</v>
      </c>
      <c r="K2000" t="n">
        <v>67.7</v>
      </c>
      <c r="L2000" t="inlineStr">
        <is>
          <t>Primary</t>
        </is>
      </c>
    </row>
    <row r="2001">
      <c r="A2001" t="n">
        <v>4</v>
      </c>
      <c r="B2001" s="33" t="inlineStr">
        <is>
          <t>S13</t>
        </is>
      </c>
      <c r="C2001" t="inlineStr">
        <is>
          <t>WG-C</t>
        </is>
      </c>
      <c r="D2001" t="n">
        <v>5</v>
      </c>
      <c r="E2001" t="inlineStr">
        <is>
          <t>F0131</t>
        </is>
      </c>
      <c r="F2001" t="inlineStr">
        <is>
          <t>新北市汐止區水源路二段190號</t>
        </is>
      </c>
      <c r="G2001" t="n">
        <v>25.053439</v>
      </c>
      <c r="H2001" t="n">
        <v>121.6575753</v>
      </c>
      <c r="I2001" t="n">
        <v>8</v>
      </c>
      <c r="J2001" t="n">
        <v>8.9</v>
      </c>
      <c r="K2001" t="n">
        <v>84.59999999999999</v>
      </c>
      <c r="L2001" t="inlineStr">
        <is>
          <t>Primary</t>
        </is>
      </c>
    </row>
    <row r="2002">
      <c r="A2002" t="n">
        <v>4</v>
      </c>
      <c r="B2002" s="33" t="inlineStr">
        <is>
          <t>S13</t>
        </is>
      </c>
      <c r="C2002" t="inlineStr">
        <is>
          <t>WG-C</t>
        </is>
      </c>
      <c r="D2002" t="n">
        <v>6</v>
      </c>
      <c r="E2002" t="inlineStr">
        <is>
          <t>F0138</t>
        </is>
      </c>
      <c r="F2002" t="inlineStr">
        <is>
          <t>新北市汐止區莊敬街33號</t>
        </is>
      </c>
      <c r="G2002" t="n">
        <v>25.0606248</v>
      </c>
      <c r="H2002" t="n">
        <v>121.6564726</v>
      </c>
      <c r="I2002" t="n">
        <v>16</v>
      </c>
      <c r="J2002" t="n">
        <v>3</v>
      </c>
      <c r="K2002" t="n">
        <v>103.6</v>
      </c>
      <c r="L2002" t="inlineStr">
        <is>
          <t>Primary</t>
        </is>
      </c>
    </row>
    <row r="2003">
      <c r="A2003" t="n">
        <v>4</v>
      </c>
      <c r="B2003" s="33" t="inlineStr">
        <is>
          <t>S13</t>
        </is>
      </c>
      <c r="C2003" t="inlineStr">
        <is>
          <t>WG-C</t>
        </is>
      </c>
      <c r="D2003" t="n">
        <v>7</v>
      </c>
      <c r="E2003" t="inlineStr">
        <is>
          <t>F0139</t>
        </is>
      </c>
      <c r="F2003" t="inlineStr">
        <is>
          <t>新北市汐止區新台五路２段46號旁工地</t>
        </is>
      </c>
      <c r="G2003" t="n">
        <v>25.0653073</v>
      </c>
      <c r="H2003" t="n">
        <v>121.6611428</v>
      </c>
      <c r="I2003" t="n">
        <v>16</v>
      </c>
      <c r="J2003" t="n">
        <v>3</v>
      </c>
      <c r="K2003" t="n">
        <v>122.6</v>
      </c>
      <c r="L2003" t="inlineStr">
        <is>
          <t>Primary</t>
        </is>
      </c>
    </row>
    <row r="2004">
      <c r="A2004" t="n">
        <v>4</v>
      </c>
      <c r="B2004" s="33" t="inlineStr">
        <is>
          <t>S13</t>
        </is>
      </c>
      <c r="C2004" t="inlineStr">
        <is>
          <t>WG-C</t>
        </is>
      </c>
      <c r="D2004" t="n">
        <v>8</v>
      </c>
      <c r="E2004" t="inlineStr">
        <is>
          <t>F0133</t>
        </is>
      </c>
      <c r="F2004" t="inlineStr">
        <is>
          <t>新北市汐止區忠孝東路201號-秀峰高中</t>
        </is>
      </c>
      <c r="G2004" t="n">
        <v>25.0657829</v>
      </c>
      <c r="H2004" t="n">
        <v>121.6608704</v>
      </c>
      <c r="I2004" t="n">
        <v>16</v>
      </c>
      <c r="J2004" t="n">
        <v>2</v>
      </c>
      <c r="K2004" t="n">
        <v>140.6</v>
      </c>
      <c r="L2004" t="inlineStr">
        <is>
          <t>Primary</t>
        </is>
      </c>
    </row>
    <row r="2005">
      <c r="A2005" t="n">
        <v>4</v>
      </c>
      <c r="B2005" s="33" t="inlineStr">
        <is>
          <t>S13</t>
        </is>
      </c>
      <c r="C2005" t="inlineStr">
        <is>
          <t>WG-C</t>
        </is>
      </c>
      <c r="D2005" t="n">
        <v>9</v>
      </c>
      <c r="E2005" t="inlineStr">
        <is>
          <t>F0137</t>
        </is>
      </c>
      <c r="F2005" t="inlineStr">
        <is>
          <t>新北市汐止區茄苳路327號-斜對面工地</t>
        </is>
      </c>
      <c r="G2005" t="n">
        <v>25.0664481</v>
      </c>
      <c r="H2005" t="n">
        <v>121.6738143</v>
      </c>
      <c r="I2005" t="n">
        <v>8</v>
      </c>
      <c r="J2005" t="n">
        <v>3.1</v>
      </c>
      <c r="K2005" t="n">
        <v>151.8</v>
      </c>
      <c r="L2005" t="inlineStr">
        <is>
          <t>Primary</t>
        </is>
      </c>
    </row>
    <row r="2006">
      <c r="A2006" t="n">
        <v>4</v>
      </c>
      <c r="B2006" s="33" t="inlineStr">
        <is>
          <t>S13</t>
        </is>
      </c>
      <c r="C2006" t="inlineStr">
        <is>
          <t>WG-C</t>
        </is>
      </c>
      <c r="D2006" t="n">
        <v>10</v>
      </c>
      <c r="E2006" t="inlineStr">
        <is>
          <t>F0140</t>
        </is>
      </c>
      <c r="F2006" t="inlineStr">
        <is>
          <t>新北市汐止區新台五路二段301號(神豐二廠內)</t>
        </is>
      </c>
      <c r="G2006" t="n">
        <v>25.0722512</v>
      </c>
      <c r="H2006" t="n">
        <v>121.6889058</v>
      </c>
      <c r="I2006" t="n">
        <v>16</v>
      </c>
      <c r="J2006" t="n">
        <v>4</v>
      </c>
      <c r="K2006" t="n">
        <v>171.7</v>
      </c>
      <c r="L2006" t="inlineStr">
        <is>
          <t>Primary</t>
        </is>
      </c>
    </row>
    <row r="2007">
      <c r="A2007" t="n">
        <v>4</v>
      </c>
      <c r="B2007" s="33" t="inlineStr">
        <is>
          <t>S13</t>
        </is>
      </c>
      <c r="C2007" t="inlineStr">
        <is>
          <t>WG-C</t>
        </is>
      </c>
      <c r="D2007" t="n">
        <v>11</v>
      </c>
      <c r="E2007" t="inlineStr">
        <is>
          <t>C0003</t>
        </is>
      </c>
      <c r="F2007" t="inlineStr">
        <is>
          <t>基隆市七堵區泰安路137號斜對面工地</t>
        </is>
      </c>
      <c r="G2007" t="n">
        <v>25.0784612</v>
      </c>
      <c r="H2007" t="n">
        <v>121.7124794</v>
      </c>
      <c r="I2007" t="n">
        <v>8</v>
      </c>
      <c r="J2007" t="n">
        <v>5.9</v>
      </c>
      <c r="K2007" t="n">
        <v>185.7</v>
      </c>
      <c r="L2007" t="inlineStr">
        <is>
          <t>Primary</t>
        </is>
      </c>
    </row>
    <row r="2008">
      <c r="A2008" t="n">
        <v>4</v>
      </c>
      <c r="B2008" s="33" t="inlineStr">
        <is>
          <t>S13</t>
        </is>
      </c>
      <c r="C2008" t="inlineStr">
        <is>
          <t>WG-C</t>
        </is>
      </c>
      <c r="D2008" t="n">
        <v>12</v>
      </c>
      <c r="E2008" t="inlineStr">
        <is>
          <t>C0004</t>
        </is>
      </c>
      <c r="F2008" t="inlineStr">
        <is>
          <t>基隆市七堵區崇禮街1號</t>
        </is>
      </c>
      <c r="G2008" t="n">
        <v>25.0992812</v>
      </c>
      <c r="H2008" t="n">
        <v>121.7193953</v>
      </c>
      <c r="I2008" t="n">
        <v>24</v>
      </c>
      <c r="J2008" t="n">
        <v>5.8</v>
      </c>
      <c r="K2008" t="n">
        <v>215.5</v>
      </c>
      <c r="L2008" t="inlineStr">
        <is>
          <t>Primary</t>
        </is>
      </c>
    </row>
    <row r="2009">
      <c r="A2009" t="n">
        <v>4</v>
      </c>
      <c r="B2009" s="33" t="inlineStr">
        <is>
          <t>S13</t>
        </is>
      </c>
      <c r="C2009" t="inlineStr">
        <is>
          <t>WG-C</t>
        </is>
      </c>
      <c r="D2009" t="n">
        <v>13</v>
      </c>
      <c r="E2009" t="inlineStr">
        <is>
          <t>C0016</t>
        </is>
      </c>
      <c r="F2009" t="inlineStr">
        <is>
          <t>基隆市仁愛區精一路6號</t>
        </is>
      </c>
      <c r="G2009" t="n">
        <v>25.1266086</v>
      </c>
      <c r="H2009" t="n">
        <v>121.7413781</v>
      </c>
      <c r="I2009" t="n">
        <v>8</v>
      </c>
      <c r="J2009" t="n">
        <v>9</v>
      </c>
      <c r="K2009" t="n">
        <v>232.5</v>
      </c>
      <c r="L2009" t="inlineStr">
        <is>
          <t>Primary</t>
        </is>
      </c>
    </row>
    <row r="2010">
      <c r="A2010" t="n">
        <v>4</v>
      </c>
      <c r="B2010" s="33" t="inlineStr">
        <is>
          <t>S13</t>
        </is>
      </c>
      <c r="C2010" t="inlineStr">
        <is>
          <t>WG-C</t>
        </is>
      </c>
      <c r="D2010" t="n">
        <v>14</v>
      </c>
      <c r="E2010" t="inlineStr">
        <is>
          <t>C0012</t>
        </is>
      </c>
      <c r="F2010" t="inlineStr">
        <is>
          <t>基隆市中正區義二路211號</t>
        </is>
      </c>
      <c r="G2010" t="n">
        <v>25.1357366</v>
      </c>
      <c r="H2010" t="n">
        <v>121.7482814</v>
      </c>
      <c r="I2010" t="n">
        <v>8</v>
      </c>
      <c r="J2010" t="n">
        <v>3</v>
      </c>
      <c r="K2010" t="n">
        <v>243.5</v>
      </c>
      <c r="L2010" t="inlineStr">
        <is>
          <t>Primary</t>
        </is>
      </c>
    </row>
    <row r="2011">
      <c r="A2011" t="n">
        <v>4</v>
      </c>
      <c r="B2011" s="33" t="inlineStr">
        <is>
          <t>S13</t>
        </is>
      </c>
      <c r="C2011" t="inlineStr">
        <is>
          <t>WG-C</t>
        </is>
      </c>
      <c r="D2011" t="n">
        <v>15</v>
      </c>
      <c r="E2011" t="inlineStr">
        <is>
          <t>C0025</t>
        </is>
      </c>
      <c r="F2011" t="inlineStr">
        <is>
          <t>基隆市信義區正信路205號</t>
        </is>
      </c>
      <c r="G2011" t="n">
        <v>25.1337155</v>
      </c>
      <c r="H2011" t="n">
        <v>121.759755</v>
      </c>
      <c r="I2011" t="n">
        <v>8</v>
      </c>
      <c r="J2011" t="n">
        <v>3</v>
      </c>
      <c r="K2011" t="n">
        <v>254.5</v>
      </c>
      <c r="L2011" t="inlineStr">
        <is>
          <t>Primary</t>
        </is>
      </c>
    </row>
    <row r="2012">
      <c r="A2012" t="n">
        <v>4</v>
      </c>
      <c r="B2012" s="33" t="inlineStr">
        <is>
          <t>S13</t>
        </is>
      </c>
      <c r="C2012" t="inlineStr">
        <is>
          <t>WG-C</t>
        </is>
      </c>
      <c r="D2012" t="n">
        <v>16</v>
      </c>
      <c r="E2012" t="inlineStr">
        <is>
          <t>C0027</t>
        </is>
      </c>
      <c r="F2012" t="inlineStr">
        <is>
          <t>基隆市信義區深澳坑路86巷2號對面</t>
        </is>
      </c>
      <c r="G2012" t="n">
        <v>25.1266346</v>
      </c>
      <c r="H2012" t="n">
        <v>121.7817494</v>
      </c>
      <c r="I2012" t="n">
        <v>8</v>
      </c>
      <c r="J2012" t="n">
        <v>5.6</v>
      </c>
      <c r="K2012" t="n">
        <v>268.1</v>
      </c>
      <c r="L2012" t="inlineStr">
        <is>
          <t>Primary</t>
        </is>
      </c>
    </row>
    <row r="2013">
      <c r="A2013" t="n">
        <v>4</v>
      </c>
      <c r="B2013" s="33" t="inlineStr">
        <is>
          <t>S13</t>
        </is>
      </c>
      <c r="C2013" t="inlineStr">
        <is>
          <t>WG-C</t>
        </is>
      </c>
      <c r="D2013" t="n">
        <v>17</v>
      </c>
      <c r="E2013" t="inlineStr">
        <is>
          <t>C0026</t>
        </is>
      </c>
      <c r="F2013" t="inlineStr">
        <is>
          <t>基隆市信義區深溪路與新豐街口(第八攤)-吳老鋪</t>
        </is>
      </c>
      <c r="G2013" t="n">
        <v>25.1350628</v>
      </c>
      <c r="H2013" t="n">
        <v>121.7831886</v>
      </c>
      <c r="I2013" t="n">
        <v>8</v>
      </c>
      <c r="J2013" t="n">
        <v>3</v>
      </c>
      <c r="K2013" t="n">
        <v>279.1</v>
      </c>
      <c r="L2013" t="inlineStr">
        <is>
          <t>Primary</t>
        </is>
      </c>
    </row>
    <row r="2014">
      <c r="A2014" t="n">
        <v>4</v>
      </c>
      <c r="B2014" s="33" t="inlineStr">
        <is>
          <t>S13</t>
        </is>
      </c>
      <c r="C2014" t="inlineStr">
        <is>
          <t>WG-C</t>
        </is>
      </c>
      <c r="D2014" t="n">
        <v>18</v>
      </c>
      <c r="E2014" t="inlineStr">
        <is>
          <t>F0308</t>
        </is>
      </c>
      <c r="F2014" t="inlineStr">
        <is>
          <t>新北市瑞芳區瑞芳街54號對面(瑞芳後火車站停車場)</t>
        </is>
      </c>
      <c r="G2014" t="n">
        <v>25.109905</v>
      </c>
      <c r="H2014" t="n">
        <v>121.805078</v>
      </c>
      <c r="I2014" t="n">
        <v>24</v>
      </c>
      <c r="J2014" t="n">
        <v>8.5</v>
      </c>
      <c r="K2014" t="n">
        <v>311.7</v>
      </c>
      <c r="L2014" t="inlineStr">
        <is>
          <t>Primary</t>
        </is>
      </c>
    </row>
    <row r="2015">
      <c r="A2015" t="n">
        <v>4</v>
      </c>
      <c r="B2015" s="33" t="inlineStr">
        <is>
          <t>S13</t>
        </is>
      </c>
      <c r="C2015" t="inlineStr">
        <is>
          <t>WG-C</t>
        </is>
      </c>
      <c r="D2015" t="n">
        <v>19</v>
      </c>
      <c r="E2015" t="inlineStr">
        <is>
          <t>F0305</t>
        </is>
      </c>
      <c r="F2015" t="inlineStr">
        <is>
          <t>新北市瑞芳區三爪子坑路1號-瑞芳國中</t>
        </is>
      </c>
      <c r="G2015" t="n">
        <v>25.1077512</v>
      </c>
      <c r="H2015" t="n">
        <v>121.8165372</v>
      </c>
      <c r="I2015" t="n">
        <v>40</v>
      </c>
      <c r="J2015" t="n">
        <v>3</v>
      </c>
      <c r="K2015" t="n">
        <v>354.7</v>
      </c>
      <c r="L2015" t="inlineStr">
        <is>
          <t>Primary</t>
        </is>
      </c>
    </row>
    <row r="2016">
      <c r="A2016" t="n">
        <v>4</v>
      </c>
      <c r="B2016" s="33" t="inlineStr">
        <is>
          <t>S13</t>
        </is>
      </c>
      <c r="C2016" t="inlineStr">
        <is>
          <t>PZ-D</t>
        </is>
      </c>
      <c r="D2016" t="n">
        <v>20</v>
      </c>
      <c r="E2016" t="inlineStr">
        <is>
          <t>A0124</t>
        </is>
      </c>
      <c r="F2016" t="inlineStr">
        <is>
          <t>臺北市內湖區康樂街136巷12號</t>
        </is>
      </c>
      <c r="G2016" t="n">
        <v>25.071879</v>
      </c>
      <c r="H2016" t="n">
        <v>121.6183775</v>
      </c>
      <c r="I2016" t="n">
        <v>98</v>
      </c>
      <c r="J2016" t="n">
        <v>20.4</v>
      </c>
      <c r="K2016" t="n">
        <v>473</v>
      </c>
      <c r="L2016" s="21" t="inlineStr">
        <is>
          <t>Support</t>
        </is>
      </c>
    </row>
    <row r="2017">
      <c r="A2017" t="n">
        <v>4</v>
      </c>
      <c r="B2017" s="33" t="inlineStr">
        <is>
          <t>S13</t>
        </is>
      </c>
      <c r="C2017" t="inlineStr">
        <is>
          <t>PZ-D</t>
        </is>
      </c>
      <c r="D2017" t="n">
        <v>21</v>
      </c>
      <c r="E2017" t="inlineStr">
        <is>
          <t>A0207</t>
        </is>
      </c>
      <c r="F2017" t="inlineStr">
        <is>
          <t>臺北市南港區經貿二路188號(中國信託金融園區外)</t>
        </is>
      </c>
      <c r="G2017" t="n">
        <v>25.059072</v>
      </c>
      <c r="H2017" t="n">
        <v>121.616589</v>
      </c>
      <c r="I2017" t="n">
        <v>8</v>
      </c>
      <c r="J2017" t="n">
        <v>3.4</v>
      </c>
      <c r="K2017" t="n">
        <v>484.5</v>
      </c>
      <c r="L2017" s="21" t="inlineStr">
        <is>
          <t>Support</t>
        </is>
      </c>
    </row>
    <row r="2018">
      <c r="A2018" t="n">
        <v>4</v>
      </c>
      <c r="B2018" s="33" t="inlineStr">
        <is>
          <t>S13</t>
        </is>
      </c>
      <c r="C2018" t="inlineStr">
        <is>
          <t>PZ-D</t>
        </is>
      </c>
      <c r="D2018" t="n">
        <v>22</v>
      </c>
      <c r="E2018" t="inlineStr">
        <is>
          <t>A0131</t>
        </is>
      </c>
      <c r="F2018" t="inlineStr">
        <is>
          <t>臺北市內湖區潭美街636號旁</t>
        </is>
      </c>
      <c r="G2018" t="n">
        <v>25.060647</v>
      </c>
      <c r="H2018" t="n">
        <v>121.601825</v>
      </c>
      <c r="I2018" t="n">
        <v>8</v>
      </c>
      <c r="J2018" t="n">
        <v>3.6</v>
      </c>
      <c r="K2018" t="n">
        <v>496.1</v>
      </c>
      <c r="L2018" s="21" t="inlineStr">
        <is>
          <t>Support</t>
        </is>
      </c>
    </row>
    <row r="2019">
      <c r="A2019" t="n">
        <v>4</v>
      </c>
      <c r="B2019" s="33" t="inlineStr">
        <is>
          <t>S13</t>
        </is>
      </c>
      <c r="C2019" t="inlineStr">
        <is>
          <t>PZ-D</t>
        </is>
      </c>
      <c r="D2019" t="n">
        <v>23</v>
      </c>
      <c r="E2019" t="inlineStr">
        <is>
          <t>A0113</t>
        </is>
      </c>
      <c r="F2019" t="inlineStr">
        <is>
          <t>臺北市內湖區安康路46號-停車場</t>
        </is>
      </c>
      <c r="G2019" t="n">
        <v>25.062</v>
      </c>
      <c r="H2019" t="n">
        <v>121.597083</v>
      </c>
      <c r="I2019" t="n">
        <v>8</v>
      </c>
      <c r="J2019" t="n">
        <v>3</v>
      </c>
      <c r="K2019" t="n">
        <v>507.1</v>
      </c>
      <c r="L2019" s="21" t="inlineStr">
        <is>
          <t>Support</t>
        </is>
      </c>
    </row>
    <row r="2020">
      <c r="A2020" t="n">
        <v>4</v>
      </c>
      <c r="B2020" s="33" t="inlineStr">
        <is>
          <t>S13</t>
        </is>
      </c>
      <c r="C2020" t="inlineStr">
        <is>
          <t>PZ-D</t>
        </is>
      </c>
      <c r="D2020" t="n">
        <v>24</v>
      </c>
      <c r="E2020" t="inlineStr">
        <is>
          <t>A0110</t>
        </is>
      </c>
      <c r="F2020" t="inlineStr">
        <is>
          <t>臺北市內湖區民權東路六段180巷88號對面工地</t>
        </is>
      </c>
      <c r="G2020" t="n">
        <v>25.065375</v>
      </c>
      <c r="H2020" t="n">
        <v>121.592669</v>
      </c>
      <c r="I2020" t="n">
        <v>8</v>
      </c>
      <c r="J2020" t="n">
        <v>3</v>
      </c>
      <c r="K2020" t="n">
        <v>518.1</v>
      </c>
      <c r="L2020" s="21" t="inlineStr">
        <is>
          <t>Support</t>
        </is>
      </c>
    </row>
    <row r="2021">
      <c r="A2021" t="n">
        <v>5</v>
      </c>
      <c r="B2021" s="33" t="inlineStr">
        <is>
          <t>S13</t>
        </is>
      </c>
      <c r="C2021" t="inlineStr">
        <is>
          <t>PZ-D</t>
        </is>
      </c>
      <c r="D2021" t="n">
        <v>1</v>
      </c>
      <c r="E2021" t="inlineStr">
        <is>
          <t>K0070</t>
        </is>
      </c>
      <c r="F2021" t="inlineStr">
        <is>
          <t>苗栗縣頭份市信德路252號旁</t>
        </is>
      </c>
      <c r="G2021" t="n">
        <v>24.692311</v>
      </c>
      <c r="H2021" t="n">
        <v>120.961019</v>
      </c>
      <c r="I2021" t="n">
        <v>8</v>
      </c>
      <c r="J2021" t="n">
        <v>64.2</v>
      </c>
      <c r="K2021" t="n">
        <v>72.2</v>
      </c>
      <c r="L2021" s="21" t="inlineStr">
        <is>
          <t>Support</t>
        </is>
      </c>
    </row>
    <row r="2022">
      <c r="A2022" t="n">
        <v>5</v>
      </c>
      <c r="B2022" s="33" t="inlineStr">
        <is>
          <t>S13</t>
        </is>
      </c>
      <c r="C2022" t="inlineStr">
        <is>
          <t>PZ-D</t>
        </is>
      </c>
      <c r="D2022" t="n">
        <v>2</v>
      </c>
      <c r="E2022" t="inlineStr">
        <is>
          <t>K0067</t>
        </is>
      </c>
      <c r="F2022" t="inlineStr">
        <is>
          <t>苗栗縣頭份市花園東路底-靠近楓林吊橋(D區)</t>
        </is>
      </c>
      <c r="G2022" t="n">
        <v>24.690175</v>
      </c>
      <c r="H2022" t="n">
        <v>120.949455</v>
      </c>
      <c r="I2022" t="n">
        <v>24</v>
      </c>
      <c r="J2022" t="n">
        <v>3</v>
      </c>
      <c r="K2022" t="n">
        <v>99.2</v>
      </c>
      <c r="L2022" s="21" t="inlineStr">
        <is>
          <t>Support</t>
        </is>
      </c>
    </row>
    <row r="2023">
      <c r="A2023" t="n">
        <v>5</v>
      </c>
      <c r="B2023" s="33" t="inlineStr">
        <is>
          <t>S13</t>
        </is>
      </c>
      <c r="C2023" t="inlineStr">
        <is>
          <t>PZ-D</t>
        </is>
      </c>
      <c r="D2023" t="n">
        <v>3</v>
      </c>
      <c r="E2023" t="inlineStr">
        <is>
          <t>K0066</t>
        </is>
      </c>
      <c r="F2023" t="inlineStr">
        <is>
          <t>苗栗縣頭份市花園東路底 靠近楓林吊橋-B區</t>
        </is>
      </c>
      <c r="G2023" t="n">
        <v>24.689764</v>
      </c>
      <c r="H2023" t="n">
        <v>120.947755</v>
      </c>
      <c r="I2023" t="n">
        <v>8</v>
      </c>
      <c r="J2023" t="n">
        <v>3</v>
      </c>
      <c r="K2023" t="n">
        <v>110.2</v>
      </c>
      <c r="L2023" s="21" t="inlineStr">
        <is>
          <t>Support</t>
        </is>
      </c>
    </row>
    <row r="2024">
      <c r="A2024" t="n">
        <v>5</v>
      </c>
      <c r="B2024" s="33" t="inlineStr">
        <is>
          <t>S13</t>
        </is>
      </c>
      <c r="C2024" t="inlineStr">
        <is>
          <t>PZ-D</t>
        </is>
      </c>
      <c r="D2024" t="n">
        <v>4</v>
      </c>
      <c r="E2024" t="inlineStr">
        <is>
          <t>K0057</t>
        </is>
      </c>
      <c r="F2024" t="inlineStr">
        <is>
          <t>苗栗縣頭份市中正路598巷31號-宏碩系統</t>
        </is>
      </c>
      <c r="G2024" t="n">
        <v>24.687116</v>
      </c>
      <c r="H2024" t="n">
        <v>120.921964</v>
      </c>
      <c r="I2024" t="n">
        <v>16</v>
      </c>
      <c r="J2024" t="n">
        <v>6.3</v>
      </c>
      <c r="K2024" t="n">
        <v>132.5</v>
      </c>
      <c r="L2024" s="21" t="inlineStr">
        <is>
          <t>Support</t>
        </is>
      </c>
    </row>
    <row r="2025">
      <c r="A2025" t="n">
        <v>5</v>
      </c>
      <c r="B2025" s="33" t="inlineStr">
        <is>
          <t>S13</t>
        </is>
      </c>
      <c r="C2025" t="inlineStr">
        <is>
          <t>PZ-D</t>
        </is>
      </c>
      <c r="D2025" t="n">
        <v>5</v>
      </c>
      <c r="E2025" t="inlineStr">
        <is>
          <t>K0073</t>
        </is>
      </c>
      <c r="F2025" t="inlineStr">
        <is>
          <t>苗栗縣頭份市頭份255-45號(燦昇釣蝦場附近)工地-電聯定位</t>
        </is>
      </c>
      <c r="G2025" t="n">
        <v>24.693275</v>
      </c>
      <c r="H2025" t="n">
        <v>120.917267</v>
      </c>
      <c r="I2025" t="n">
        <v>8</v>
      </c>
      <c r="J2025" t="n">
        <v>3</v>
      </c>
      <c r="K2025" t="n">
        <v>143.5</v>
      </c>
      <c r="L2025" s="21" t="inlineStr">
        <is>
          <t>Support</t>
        </is>
      </c>
    </row>
    <row r="2026">
      <c r="A2026" t="n">
        <v>5</v>
      </c>
      <c r="B2026" s="33" t="inlineStr">
        <is>
          <t>S13</t>
        </is>
      </c>
      <c r="C2026" t="inlineStr">
        <is>
          <t>PZ-D</t>
        </is>
      </c>
      <c r="D2026" t="n">
        <v>6</v>
      </c>
      <c r="E2026" t="inlineStr">
        <is>
          <t>K0023</t>
        </is>
      </c>
      <c r="F2026" t="inlineStr">
        <is>
          <t>苗栗縣竹南鎮科研路(國家衛生研究院3號入口)</t>
        </is>
      </c>
      <c r="G2026" t="n">
        <v>24.706386</v>
      </c>
      <c r="H2026" t="n">
        <v>120.910078</v>
      </c>
      <c r="I2026" t="n">
        <v>32</v>
      </c>
      <c r="J2026" t="n">
        <v>3.9</v>
      </c>
      <c r="K2026" t="n">
        <v>179.4</v>
      </c>
      <c r="L2026" s="21" t="inlineStr">
        <is>
          <t>Support</t>
        </is>
      </c>
    </row>
    <row r="2027">
      <c r="A2027" t="n">
        <v>5</v>
      </c>
      <c r="B2027" s="33" t="inlineStr">
        <is>
          <t>S13</t>
        </is>
      </c>
      <c r="C2027" t="inlineStr">
        <is>
          <t>PZ-D</t>
        </is>
      </c>
      <c r="D2027" t="n">
        <v>7</v>
      </c>
      <c r="E2027" t="inlineStr">
        <is>
          <t>K0022</t>
        </is>
      </c>
      <c r="F2027" t="inlineStr">
        <is>
          <t>苗栗縣竹南鎮科西二路6號-杜邦大門前工務所</t>
        </is>
      </c>
      <c r="G2027" t="n">
        <v>24.708322</v>
      </c>
      <c r="H2027" t="n">
        <v>120.910447</v>
      </c>
      <c r="I2027" t="n">
        <v>24</v>
      </c>
      <c r="J2027" t="n">
        <v>3</v>
      </c>
      <c r="K2027" t="n">
        <v>206.4</v>
      </c>
      <c r="L2027" s="21" t="inlineStr">
        <is>
          <t>Support</t>
        </is>
      </c>
    </row>
    <row r="2028">
      <c r="A2028" t="n">
        <v>5</v>
      </c>
      <c r="B2028" s="33" t="inlineStr">
        <is>
          <t>S13</t>
        </is>
      </c>
      <c r="C2028" t="inlineStr">
        <is>
          <t>PZ-D</t>
        </is>
      </c>
      <c r="D2028" t="n">
        <v>8</v>
      </c>
      <c r="E2028" t="inlineStr">
        <is>
          <t>K0028</t>
        </is>
      </c>
      <c r="F2028" t="inlineStr">
        <is>
          <t>苗栗縣竹南鎮科專路1號巷底-7F-追加</t>
        </is>
      </c>
      <c r="G2028" t="n">
        <v>24.711567</v>
      </c>
      <c r="H2028" t="n">
        <v>120.910997</v>
      </c>
      <c r="I2028" t="n">
        <v>8</v>
      </c>
      <c r="J2028" t="n">
        <v>3</v>
      </c>
      <c r="K2028" t="n">
        <v>217.4</v>
      </c>
      <c r="L2028" s="21" t="inlineStr">
        <is>
          <t>Support</t>
        </is>
      </c>
    </row>
    <row r="2029">
      <c r="A2029" t="n">
        <v>5</v>
      </c>
      <c r="B2029" s="33" t="inlineStr">
        <is>
          <t>S13</t>
        </is>
      </c>
      <c r="C2029" t="inlineStr">
        <is>
          <t>PZ-D</t>
        </is>
      </c>
      <c r="D2029" t="n">
        <v>9</v>
      </c>
      <c r="E2029" t="inlineStr">
        <is>
          <t>K0029</t>
        </is>
      </c>
      <c r="F2029" t="inlineStr">
        <is>
          <t>苗栗縣竹南鎮科專路1號巷底-追加</t>
        </is>
      </c>
      <c r="G2029" t="n">
        <v>24.711567</v>
      </c>
      <c r="H2029" t="n">
        <v>120.910997</v>
      </c>
      <c r="I2029" t="n">
        <v>32</v>
      </c>
      <c r="J2029" t="n">
        <v>2</v>
      </c>
      <c r="K2029" t="n">
        <v>251.4</v>
      </c>
      <c r="L2029" s="21" t="inlineStr">
        <is>
          <t>Support</t>
        </is>
      </c>
    </row>
    <row r="2030">
      <c r="A2030" t="n">
        <v>5</v>
      </c>
      <c r="B2030" s="33" t="inlineStr">
        <is>
          <t>S13</t>
        </is>
      </c>
      <c r="C2030" t="inlineStr">
        <is>
          <t>PZ-D</t>
        </is>
      </c>
      <c r="D2030" t="n">
        <v>10</v>
      </c>
      <c r="E2030" t="inlineStr">
        <is>
          <t>K0033</t>
        </is>
      </c>
      <c r="F2030" t="inlineStr">
        <is>
          <t>苗栗縣竹南鎮科學路&amp;科專一路交叉口-A棟9F</t>
        </is>
      </c>
      <c r="G2030" t="n">
        <v>24.713178</v>
      </c>
      <c r="H2030" t="n">
        <v>120.908458</v>
      </c>
      <c r="I2030" t="n">
        <v>20</v>
      </c>
      <c r="J2030" t="n">
        <v>3</v>
      </c>
      <c r="K2030" t="n">
        <v>274.4</v>
      </c>
      <c r="L2030" s="21" t="inlineStr">
        <is>
          <t>Support</t>
        </is>
      </c>
    </row>
    <row r="2031">
      <c r="A2031" t="n">
        <v>5</v>
      </c>
      <c r="B2031" s="33" t="inlineStr">
        <is>
          <t>S13</t>
        </is>
      </c>
      <c r="C2031" t="inlineStr">
        <is>
          <t>PZ-D</t>
        </is>
      </c>
      <c r="D2031" t="n">
        <v>11</v>
      </c>
      <c r="E2031" t="inlineStr">
        <is>
          <t>K0037</t>
        </is>
      </c>
      <c r="F2031" t="inlineStr">
        <is>
          <t>苗栗縣竹南鎮科學路&amp;科專一路交叉口-B棟9F</t>
        </is>
      </c>
      <c r="G2031" t="n">
        <v>24.713178</v>
      </c>
      <c r="H2031" t="n">
        <v>120.908458</v>
      </c>
      <c r="I2031" t="n">
        <v>20</v>
      </c>
      <c r="J2031" t="n">
        <v>2</v>
      </c>
      <c r="K2031" t="n">
        <v>296.4</v>
      </c>
      <c r="L2031" s="21" t="inlineStr">
        <is>
          <t>Support</t>
        </is>
      </c>
    </row>
    <row r="2032">
      <c r="A2032" t="n">
        <v>5</v>
      </c>
      <c r="B2032" s="33" t="inlineStr">
        <is>
          <t>S13</t>
        </is>
      </c>
      <c r="C2032" t="inlineStr">
        <is>
          <t>PZ-D</t>
        </is>
      </c>
      <c r="D2032" t="n">
        <v>12</v>
      </c>
      <c r="E2032" t="inlineStr">
        <is>
          <t>K0032</t>
        </is>
      </c>
      <c r="F2032" t="inlineStr">
        <is>
          <t>苗栗縣竹南鎮科學路&amp;科專一路交叉口-A棟5F</t>
        </is>
      </c>
      <c r="G2032" t="n">
        <v>24.713714</v>
      </c>
      <c r="H2032" t="n">
        <v>120.908369</v>
      </c>
      <c r="I2032" t="n">
        <v>20</v>
      </c>
      <c r="J2032" t="n">
        <v>2</v>
      </c>
      <c r="K2032" t="n">
        <v>318.4</v>
      </c>
      <c r="L2032" s="21" t="inlineStr">
        <is>
          <t>Support</t>
        </is>
      </c>
    </row>
    <row r="2033">
      <c r="A2033" t="n">
        <v>5</v>
      </c>
      <c r="B2033" s="33" t="inlineStr">
        <is>
          <t>S13</t>
        </is>
      </c>
      <c r="C2033" t="inlineStr">
        <is>
          <t>PZ-D</t>
        </is>
      </c>
      <c r="D2033" t="n">
        <v>13</v>
      </c>
      <c r="E2033" t="inlineStr">
        <is>
          <t>K0004</t>
        </is>
      </c>
      <c r="F2033" t="inlineStr">
        <is>
          <t>苗栗縣竹南鎮大埔一街68號對面</t>
        </is>
      </c>
      <c r="G2033" t="n">
        <v>24.712939</v>
      </c>
      <c r="H2033" t="n">
        <v>120.9073</v>
      </c>
      <c r="I2033" t="n">
        <v>8</v>
      </c>
      <c r="J2033" t="n">
        <v>3</v>
      </c>
      <c r="K2033" t="n">
        <v>329.4</v>
      </c>
      <c r="L2033" s="21" t="inlineStr">
        <is>
          <t>Support</t>
        </is>
      </c>
    </row>
    <row r="2034">
      <c r="A2034" t="n">
        <v>5</v>
      </c>
      <c r="B2034" s="33" t="inlineStr">
        <is>
          <t>S13</t>
        </is>
      </c>
      <c r="C2034" t="inlineStr">
        <is>
          <t>PZ-D</t>
        </is>
      </c>
      <c r="D2034" t="n">
        <v>14</v>
      </c>
      <c r="E2034" t="inlineStr">
        <is>
          <t>K0003</t>
        </is>
      </c>
      <c r="F2034" t="inlineStr">
        <is>
          <t>苗栗縣竹南鎮大埔一街&amp;專科二路五巷</t>
        </is>
      </c>
      <c r="G2034" t="n">
        <v>24.712507</v>
      </c>
      <c r="H2034" t="n">
        <v>120.904453</v>
      </c>
      <c r="I2034" t="n">
        <v>16</v>
      </c>
      <c r="J2034" t="n">
        <v>3</v>
      </c>
      <c r="K2034" t="n">
        <v>348.4</v>
      </c>
      <c r="L2034" s="21" t="inlineStr">
        <is>
          <t>Support</t>
        </is>
      </c>
    </row>
    <row r="2035">
      <c r="A2035" t="n">
        <v>5</v>
      </c>
      <c r="B2035" s="33" t="inlineStr">
        <is>
          <t>S13</t>
        </is>
      </c>
      <c r="C2035" t="inlineStr">
        <is>
          <t>PZ-D</t>
        </is>
      </c>
      <c r="D2035" t="n">
        <v>15</v>
      </c>
      <c r="E2035" t="inlineStr">
        <is>
          <t>K0025</t>
        </is>
      </c>
      <c r="F2035" t="inlineStr">
        <is>
          <t>苗栗縣竹南鎮科專三路128號</t>
        </is>
      </c>
      <c r="G2035" t="n">
        <v>24.708422</v>
      </c>
      <c r="H2035" t="n">
        <v>120.904511</v>
      </c>
      <c r="I2035" t="n">
        <v>8</v>
      </c>
      <c r="J2035" t="n">
        <v>3</v>
      </c>
      <c r="K2035" t="n">
        <v>359.4</v>
      </c>
      <c r="L2035" s="21" t="inlineStr">
        <is>
          <t>Support</t>
        </is>
      </c>
    </row>
    <row r="2036">
      <c r="A2036" t="n">
        <v>5</v>
      </c>
      <c r="B2036" s="33" t="inlineStr">
        <is>
          <t>S13</t>
        </is>
      </c>
      <c r="C2036" t="inlineStr">
        <is>
          <t>PZ-D</t>
        </is>
      </c>
      <c r="D2036" t="n">
        <v>16</v>
      </c>
      <c r="E2036" t="inlineStr">
        <is>
          <t>K0009</t>
        </is>
      </c>
      <c r="F2036" t="inlineStr">
        <is>
          <t>苗栗縣竹南鎮仁愛路769號旁</t>
        </is>
      </c>
      <c r="G2036" t="n">
        <v>24.710061</v>
      </c>
      <c r="H2036" t="n">
        <v>120.900286</v>
      </c>
      <c r="I2036" t="n">
        <v>18</v>
      </c>
      <c r="J2036" t="n">
        <v>3</v>
      </c>
      <c r="K2036" t="n">
        <v>380.4</v>
      </c>
      <c r="L2036" s="21" t="inlineStr">
        <is>
          <t>Support</t>
        </is>
      </c>
    </row>
    <row r="2037">
      <c r="A2037" t="n">
        <v>5</v>
      </c>
      <c r="B2037" s="33" t="inlineStr">
        <is>
          <t>S13</t>
        </is>
      </c>
      <c r="C2037" t="inlineStr">
        <is>
          <t>PZ-D</t>
        </is>
      </c>
      <c r="D2037" t="n">
        <v>17</v>
      </c>
      <c r="E2037" t="inlineStr">
        <is>
          <t>K0014</t>
        </is>
      </c>
      <c r="F2037" t="inlineStr">
        <is>
          <t>苗栗縣竹南鎮公義路1040號旁工地</t>
        </is>
      </c>
      <c r="G2037" t="n">
        <v>24.710514</v>
      </c>
      <c r="H2037" t="n">
        <v>120.899152</v>
      </c>
      <c r="I2037" t="n">
        <v>8</v>
      </c>
      <c r="J2037" t="n">
        <v>3</v>
      </c>
      <c r="K2037" t="n">
        <v>391.4</v>
      </c>
      <c r="L2037" s="21" t="inlineStr">
        <is>
          <t>Support</t>
        </is>
      </c>
    </row>
    <row r="2038">
      <c r="A2038" t="n">
        <v>5</v>
      </c>
      <c r="B2038" s="33" t="inlineStr">
        <is>
          <t>S13</t>
        </is>
      </c>
      <c r="C2038" t="inlineStr">
        <is>
          <t>PZ-D</t>
        </is>
      </c>
      <c r="D2038" t="n">
        <v>18</v>
      </c>
      <c r="E2038" t="inlineStr">
        <is>
          <t>K0026</t>
        </is>
      </c>
      <c r="F2038" t="inlineStr">
        <is>
          <t>苗栗縣竹南鎮科專六路213號</t>
        </is>
      </c>
      <c r="G2038" t="n">
        <v>24.707331</v>
      </c>
      <c r="H2038" t="n">
        <v>120.89873</v>
      </c>
      <c r="I2038" t="n">
        <v>8</v>
      </c>
      <c r="J2038" t="n">
        <v>3</v>
      </c>
      <c r="K2038" t="n">
        <v>402.4</v>
      </c>
      <c r="L2038" s="21" t="inlineStr">
        <is>
          <t>Support</t>
        </is>
      </c>
    </row>
    <row r="2039">
      <c r="A2039" t="n">
        <v>5</v>
      </c>
      <c r="B2039" s="33" t="inlineStr">
        <is>
          <t>S13</t>
        </is>
      </c>
      <c r="C2039" t="inlineStr">
        <is>
          <t>PZ-D</t>
        </is>
      </c>
      <c r="D2039" t="n">
        <v>19</v>
      </c>
      <c r="E2039" t="inlineStr">
        <is>
          <t>K0015</t>
        </is>
      </c>
      <c r="F2039" t="inlineStr">
        <is>
          <t>苗栗縣竹南鎮公義路462巷58號</t>
        </is>
      </c>
      <c r="G2039" t="n">
        <v>24.704606</v>
      </c>
      <c r="H2039" t="n">
        <v>120.8915</v>
      </c>
      <c r="I2039" t="n">
        <v>8</v>
      </c>
      <c r="J2039" t="n">
        <v>3</v>
      </c>
      <c r="K2039" t="n">
        <v>413.4</v>
      </c>
      <c r="L2039" s="21" t="inlineStr">
        <is>
          <t>Support</t>
        </is>
      </c>
    </row>
    <row r="2040">
      <c r="A2040" t="n">
        <v>5</v>
      </c>
      <c r="B2040" s="33" t="inlineStr">
        <is>
          <t>S13</t>
        </is>
      </c>
      <c r="C2040" t="inlineStr">
        <is>
          <t>PZ-D</t>
        </is>
      </c>
      <c r="D2040" t="n">
        <v>20</v>
      </c>
      <c r="E2040" t="inlineStr">
        <is>
          <t>K0069</t>
        </is>
      </c>
      <c r="F2040" t="inlineStr">
        <is>
          <t>苗栗縣頭份市信義路780號旁工地-自行定位</t>
        </is>
      </c>
      <c r="G2040" t="n">
        <v>24.700297</v>
      </c>
      <c r="H2040" t="n">
        <v>120.888225</v>
      </c>
      <c r="I2040" t="n">
        <v>8</v>
      </c>
      <c r="J2040" t="n">
        <v>3</v>
      </c>
      <c r="K2040" t="n">
        <v>424.4</v>
      </c>
      <c r="L2040" s="21" t="inlineStr">
        <is>
          <t>Support</t>
        </is>
      </c>
    </row>
    <row r="2041">
      <c r="A2041" t="n">
        <v>5</v>
      </c>
      <c r="B2041" s="33" t="inlineStr">
        <is>
          <t>S13</t>
        </is>
      </c>
      <c r="C2041" t="inlineStr">
        <is>
          <t>PZ-D</t>
        </is>
      </c>
      <c r="D2041" t="n">
        <v>21</v>
      </c>
      <c r="E2041" t="inlineStr">
        <is>
          <t>K0059</t>
        </is>
      </c>
      <c r="F2041" t="inlineStr">
        <is>
          <t>苗栗縣頭份市文林路76號對面工地</t>
        </is>
      </c>
      <c r="G2041" t="n">
        <v>24.698597</v>
      </c>
      <c r="H2041" t="n">
        <v>120.889586</v>
      </c>
      <c r="I2041" t="n">
        <v>24</v>
      </c>
      <c r="J2041" t="n">
        <v>3</v>
      </c>
      <c r="K2041" t="n">
        <v>451.4</v>
      </c>
      <c r="L2041" s="21" t="inlineStr">
        <is>
          <t>Support</t>
        </is>
      </c>
    </row>
    <row r="2042">
      <c r="A2042" t="n">
        <v>5</v>
      </c>
      <c r="B2042" s="33" t="inlineStr">
        <is>
          <t>S13</t>
        </is>
      </c>
      <c r="C2042" t="inlineStr">
        <is>
          <t>PZ-D</t>
        </is>
      </c>
      <c r="D2042" t="n">
        <v>22</v>
      </c>
      <c r="E2042" t="inlineStr">
        <is>
          <t>K0043</t>
        </is>
      </c>
      <c r="F2042" t="inlineStr">
        <is>
          <t>苗栗縣竹南鎮龍山路三段1巷67弄底</t>
        </is>
      </c>
      <c r="G2042" t="n">
        <v>24.702119</v>
      </c>
      <c r="H2042" t="n">
        <v>120.877045</v>
      </c>
      <c r="I2042" t="n">
        <v>8</v>
      </c>
      <c r="J2042" t="n">
        <v>3.2</v>
      </c>
      <c r="K2042" t="n">
        <v>462.5</v>
      </c>
      <c r="L2042" s="21" t="inlineStr">
        <is>
          <t>Support</t>
        </is>
      </c>
    </row>
    <row r="2043">
      <c r="A2043" t="n">
        <v>6</v>
      </c>
      <c r="B2043" s="33" t="inlineStr">
        <is>
          <t>S13</t>
        </is>
      </c>
      <c r="C2043" t="inlineStr">
        <is>
          <t>PZ-C</t>
        </is>
      </c>
      <c r="D2043" t="n">
        <v>1</v>
      </c>
      <c r="E2043" t="inlineStr">
        <is>
          <t>J0094</t>
        </is>
      </c>
      <c r="F2043" t="inlineStr">
        <is>
          <t>新竹縣竹東鎮柯湖路3段291號福龍宮附近</t>
        </is>
      </c>
      <c r="G2043" t="n">
        <v>24.757719</v>
      </c>
      <c r="H2043" t="n">
        <v>121.034344</v>
      </c>
      <c r="I2043" t="n">
        <v>8</v>
      </c>
      <c r="J2043" t="n">
        <v>53.8</v>
      </c>
      <c r="K2043" t="n">
        <v>61.8</v>
      </c>
      <c r="L2043" s="21" t="inlineStr">
        <is>
          <t>Support</t>
        </is>
      </c>
    </row>
    <row r="2044">
      <c r="A2044" t="n">
        <v>6</v>
      </c>
      <c r="B2044" s="33" t="inlineStr">
        <is>
          <t>S13</t>
        </is>
      </c>
      <c r="C2044" t="inlineStr">
        <is>
          <t>PZ-C</t>
        </is>
      </c>
      <c r="D2044" t="n">
        <v>2</v>
      </c>
      <c r="E2044" t="inlineStr">
        <is>
          <t>J0212</t>
        </is>
      </c>
      <c r="F2044" t="inlineStr">
        <is>
          <t>新竹縣寶山鄉大雅一街110號-會分散擺放-湳坑料場</t>
        </is>
      </c>
      <c r="G2044" t="n">
        <v>24.7512064</v>
      </c>
      <c r="H2044" t="n">
        <v>121.018169</v>
      </c>
      <c r="I2044" t="n">
        <v>16</v>
      </c>
      <c r="J2044" t="n">
        <v>4.3</v>
      </c>
      <c r="K2044" t="n">
        <v>82.09999999999999</v>
      </c>
      <c r="L2044" s="21" t="inlineStr">
        <is>
          <t>Support</t>
        </is>
      </c>
    </row>
    <row r="2045">
      <c r="A2045" t="n">
        <v>6</v>
      </c>
      <c r="B2045" s="33" t="inlineStr">
        <is>
          <t>S13</t>
        </is>
      </c>
      <c r="C2045" t="inlineStr">
        <is>
          <t>PZ-C</t>
        </is>
      </c>
      <c r="D2045" t="n">
        <v>3</v>
      </c>
      <c r="E2045" t="inlineStr">
        <is>
          <t>J0214</t>
        </is>
      </c>
      <c r="F2045" t="inlineStr">
        <is>
          <t>新竹縣寶山鄉大雅一街110號-會分散擺放-環南上料場</t>
        </is>
      </c>
      <c r="G2045" t="n">
        <v>24.7512064</v>
      </c>
      <c r="H2045" t="n">
        <v>121.018169</v>
      </c>
      <c r="I2045" t="n">
        <v>16</v>
      </c>
      <c r="J2045" t="n">
        <v>2</v>
      </c>
      <c r="K2045" t="n">
        <v>100.1</v>
      </c>
      <c r="L2045" s="21" t="inlineStr">
        <is>
          <t>Support</t>
        </is>
      </c>
    </row>
    <row r="2046">
      <c r="A2046" t="n">
        <v>6</v>
      </c>
      <c r="B2046" s="33" t="inlineStr">
        <is>
          <t>S13</t>
        </is>
      </c>
      <c r="C2046" t="inlineStr">
        <is>
          <t>PZ-C</t>
        </is>
      </c>
      <c r="D2046" t="n">
        <v>4</v>
      </c>
      <c r="E2046" t="inlineStr">
        <is>
          <t>J0217</t>
        </is>
      </c>
      <c r="F2046" t="inlineStr">
        <is>
          <t>新竹縣寶山鄉大雅一街110號-會分散擺放-雙龍料廠</t>
        </is>
      </c>
      <c r="G2046" t="n">
        <v>24.7512064</v>
      </c>
      <c r="H2046" t="n">
        <v>121.018169</v>
      </c>
      <c r="I2046" t="n">
        <v>32</v>
      </c>
      <c r="J2046" t="n">
        <v>2</v>
      </c>
      <c r="K2046" t="n">
        <v>134.1</v>
      </c>
      <c r="L2046" s="21" t="inlineStr">
        <is>
          <t>Support</t>
        </is>
      </c>
    </row>
    <row r="2047">
      <c r="A2047" t="n">
        <v>1</v>
      </c>
      <c r="B2047" s="34" t="inlineStr">
        <is>
          <t>S14</t>
        </is>
      </c>
      <c r="C2047" t="inlineStr">
        <is>
          <t>WG-A</t>
        </is>
      </c>
      <c r="D2047" t="n">
        <v>1</v>
      </c>
      <c r="E2047" t="inlineStr">
        <is>
          <t>F0109</t>
        </is>
      </c>
      <c r="F2047" t="inlineStr">
        <is>
          <t>新北市五股區成泰路１段98巷(北極宮旁廠房)-電聯帶定位</t>
        </is>
      </c>
      <c r="G2047" t="n">
        <v>25.07129</v>
      </c>
      <c r="H2047" t="n">
        <v>121.4452083</v>
      </c>
      <c r="I2047" t="n">
        <v>8</v>
      </c>
      <c r="J2047" t="n">
        <v>3</v>
      </c>
      <c r="K2047" t="n">
        <v>11</v>
      </c>
      <c r="L2047" t="inlineStr">
        <is>
          <t>Primary</t>
        </is>
      </c>
    </row>
    <row r="2048">
      <c r="A2048" t="n">
        <v>1</v>
      </c>
      <c r="B2048" s="34" t="inlineStr">
        <is>
          <t>S14</t>
        </is>
      </c>
      <c r="C2048" t="inlineStr">
        <is>
          <t>WG-A</t>
        </is>
      </c>
      <c r="D2048" t="n">
        <v>2</v>
      </c>
      <c r="E2048" t="inlineStr">
        <is>
          <t>F0105</t>
        </is>
      </c>
      <c r="F2048" t="inlineStr">
        <is>
          <t>新北市五股區五工路136-1號</t>
        </is>
      </c>
      <c r="G2048" t="n">
        <v>25.0694873</v>
      </c>
      <c r="H2048" t="n">
        <v>121.4508235</v>
      </c>
      <c r="I2048" t="n">
        <v>8</v>
      </c>
      <c r="J2048" t="n">
        <v>3</v>
      </c>
      <c r="K2048" t="n">
        <v>22</v>
      </c>
      <c r="L2048" t="inlineStr">
        <is>
          <t>Primary</t>
        </is>
      </c>
    </row>
    <row r="2049">
      <c r="A2049" t="n">
        <v>1</v>
      </c>
      <c r="B2049" s="34" t="inlineStr">
        <is>
          <t>S14</t>
        </is>
      </c>
      <c r="C2049" t="inlineStr">
        <is>
          <t>WG-A</t>
        </is>
      </c>
      <c r="D2049" t="n">
        <v>3</v>
      </c>
      <c r="E2049" t="inlineStr">
        <is>
          <t>F0104</t>
        </is>
      </c>
      <c r="F2049" t="inlineStr">
        <is>
          <t>新北市五股區五工二路122號</t>
        </is>
      </c>
      <c r="G2049" t="n">
        <v>25.07015</v>
      </c>
      <c r="H2049" t="n">
        <v>121.4555365</v>
      </c>
      <c r="I2049" t="n">
        <v>8</v>
      </c>
      <c r="J2049" t="n">
        <v>3</v>
      </c>
      <c r="K2049" t="n">
        <v>33</v>
      </c>
      <c r="L2049" t="inlineStr">
        <is>
          <t>Primary</t>
        </is>
      </c>
    </row>
    <row r="2050">
      <c r="A2050" t="n">
        <v>1</v>
      </c>
      <c r="B2050" s="34" t="inlineStr">
        <is>
          <t>S14</t>
        </is>
      </c>
      <c r="C2050" t="inlineStr">
        <is>
          <t>WG-A</t>
        </is>
      </c>
      <c r="D2050" t="n">
        <v>4</v>
      </c>
      <c r="E2050" t="inlineStr">
        <is>
          <t>F0293</t>
        </is>
      </c>
      <c r="F2050" t="inlineStr">
        <is>
          <t>新北市新莊區五工路66號工地</t>
        </is>
      </c>
      <c r="G2050" t="n">
        <v>25.0638243</v>
      </c>
      <c r="H2050" t="n">
        <v>121.4585994</v>
      </c>
      <c r="I2050" t="n">
        <v>8</v>
      </c>
      <c r="J2050" t="n">
        <v>3</v>
      </c>
      <c r="K2050" t="n">
        <v>44</v>
      </c>
      <c r="L2050" t="inlineStr">
        <is>
          <t>Primary</t>
        </is>
      </c>
    </row>
    <row r="2051">
      <c r="A2051" t="n">
        <v>1</v>
      </c>
      <c r="B2051" s="34" t="inlineStr">
        <is>
          <t>S14</t>
        </is>
      </c>
      <c r="C2051" t="inlineStr">
        <is>
          <t>WG-A</t>
        </is>
      </c>
      <c r="D2051" t="n">
        <v>5</v>
      </c>
      <c r="E2051" t="inlineStr">
        <is>
          <t>F0297</t>
        </is>
      </c>
      <c r="F2051" t="inlineStr">
        <is>
          <t>新北市新莊區新知一路6號工地</t>
        </is>
      </c>
      <c r="G2051" t="n">
        <v>25.0629874</v>
      </c>
      <c r="H2051" t="n">
        <v>121.4637086</v>
      </c>
      <c r="I2051" t="n">
        <v>8</v>
      </c>
      <c r="J2051" t="n">
        <v>3</v>
      </c>
      <c r="K2051" t="n">
        <v>55</v>
      </c>
      <c r="L2051" t="inlineStr">
        <is>
          <t>Primary</t>
        </is>
      </c>
    </row>
    <row r="2052">
      <c r="A2052" t="n">
        <v>1</v>
      </c>
      <c r="B2052" s="34" t="inlineStr">
        <is>
          <t>S14</t>
        </is>
      </c>
      <c r="C2052" t="inlineStr">
        <is>
          <t>WG-A</t>
        </is>
      </c>
      <c r="D2052" t="n">
        <v>6</v>
      </c>
      <c r="E2052" t="inlineStr">
        <is>
          <t>F0295</t>
        </is>
      </c>
      <c r="F2052" t="inlineStr">
        <is>
          <t>新北市新莊區化成路830號</t>
        </is>
      </c>
      <c r="G2052" t="n">
        <v>25.0602392</v>
      </c>
      <c r="H2052" t="n">
        <v>121.4651061</v>
      </c>
      <c r="I2052" t="n">
        <v>8</v>
      </c>
      <c r="J2052" t="n">
        <v>3</v>
      </c>
      <c r="K2052" t="n">
        <v>66</v>
      </c>
      <c r="L2052" t="inlineStr">
        <is>
          <t>Primary</t>
        </is>
      </c>
    </row>
    <row r="2053">
      <c r="A2053" t="n">
        <v>1</v>
      </c>
      <c r="B2053" s="34" t="inlineStr">
        <is>
          <t>S14</t>
        </is>
      </c>
      <c r="C2053" t="inlineStr">
        <is>
          <t>WG-A</t>
        </is>
      </c>
      <c r="D2053" t="n">
        <v>7</v>
      </c>
      <c r="E2053" t="inlineStr">
        <is>
          <t>F0031</t>
        </is>
      </c>
      <c r="F2053" t="inlineStr">
        <is>
          <t>新北市三重區光華路15號對面</t>
        </is>
      </c>
      <c r="G2053" t="n">
        <v>25.0601744</v>
      </c>
      <c r="H2053" t="n">
        <v>121.4699104</v>
      </c>
      <c r="I2053" t="n">
        <v>8</v>
      </c>
      <c r="J2053" t="n">
        <v>3</v>
      </c>
      <c r="K2053" t="n">
        <v>77</v>
      </c>
      <c r="L2053" t="inlineStr">
        <is>
          <t>Primary</t>
        </is>
      </c>
    </row>
    <row r="2054">
      <c r="A2054" t="n">
        <v>1</v>
      </c>
      <c r="B2054" s="34" t="inlineStr">
        <is>
          <t>S14</t>
        </is>
      </c>
      <c r="C2054" t="inlineStr">
        <is>
          <t>WG-A</t>
        </is>
      </c>
      <c r="D2054" t="n">
        <v>8</v>
      </c>
      <c r="E2054" t="inlineStr">
        <is>
          <t>F0030</t>
        </is>
      </c>
      <c r="F2054" t="inlineStr">
        <is>
          <t>新北市三重區光復路二段5號</t>
        </is>
      </c>
      <c r="G2054" t="n">
        <v>25.0538997</v>
      </c>
      <c r="H2054" t="n">
        <v>121.4723638</v>
      </c>
      <c r="I2054" t="n">
        <v>80</v>
      </c>
      <c r="J2054" t="n">
        <v>3</v>
      </c>
      <c r="K2054" t="n">
        <v>160</v>
      </c>
      <c r="L2054" t="inlineStr">
        <is>
          <t>Primary</t>
        </is>
      </c>
    </row>
    <row r="2055">
      <c r="A2055" t="n">
        <v>1</v>
      </c>
      <c r="B2055" s="34" t="inlineStr">
        <is>
          <t>S14</t>
        </is>
      </c>
      <c r="C2055" t="inlineStr">
        <is>
          <t>WG-A</t>
        </is>
      </c>
      <c r="D2055" t="n">
        <v>9</v>
      </c>
      <c r="E2055" t="inlineStr">
        <is>
          <t>F0030</t>
        </is>
      </c>
      <c r="F2055" t="inlineStr">
        <is>
          <t>新北市三重區光復路二段5號</t>
        </is>
      </c>
      <c r="G2055" t="n">
        <v>25.0538997</v>
      </c>
      <c r="H2055" t="n">
        <v>121.4723638</v>
      </c>
      <c r="I2055" t="n">
        <v>80</v>
      </c>
      <c r="J2055" t="n">
        <v>2</v>
      </c>
      <c r="K2055" t="n">
        <v>242</v>
      </c>
      <c r="L2055" t="inlineStr">
        <is>
          <t>Primary</t>
        </is>
      </c>
    </row>
    <row r="2056">
      <c r="A2056" t="n">
        <v>1</v>
      </c>
      <c r="B2056" s="34" t="inlineStr">
        <is>
          <t>S14</t>
        </is>
      </c>
      <c r="C2056" t="inlineStr">
        <is>
          <t>WG-A</t>
        </is>
      </c>
      <c r="D2056" t="n">
        <v>10</v>
      </c>
      <c r="E2056" t="inlineStr">
        <is>
          <t>F0042</t>
        </is>
      </c>
      <c r="F2056" t="inlineStr">
        <is>
          <t>新北市三重區興德路69號</t>
        </is>
      </c>
      <c r="G2056" t="n">
        <v>25.0535759</v>
      </c>
      <c r="H2056" t="n">
        <v>121.4741177</v>
      </c>
      <c r="I2056" t="n">
        <v>32</v>
      </c>
      <c r="J2056" t="n">
        <v>3</v>
      </c>
      <c r="K2056" t="n">
        <v>277</v>
      </c>
      <c r="L2056" t="inlineStr">
        <is>
          <t>Primary</t>
        </is>
      </c>
    </row>
    <row r="2057">
      <c r="A2057" t="n">
        <v>1</v>
      </c>
      <c r="B2057" s="34" t="inlineStr">
        <is>
          <t>S14</t>
        </is>
      </c>
      <c r="C2057" t="inlineStr">
        <is>
          <t>WG-A</t>
        </is>
      </c>
      <c r="D2057" t="n">
        <v>11</v>
      </c>
      <c r="E2057" t="inlineStr">
        <is>
          <t>F0036</t>
        </is>
      </c>
      <c r="F2057" t="inlineStr">
        <is>
          <t>新北市三重區疏洪西路&amp;頂文二街交叉口</t>
        </is>
      </c>
      <c r="G2057" t="n">
        <v>25.0551926</v>
      </c>
      <c r="H2057" t="n">
        <v>121.4770312</v>
      </c>
      <c r="I2057" t="n">
        <v>48</v>
      </c>
      <c r="J2057" t="n">
        <v>3</v>
      </c>
      <c r="K2057" t="n">
        <v>328</v>
      </c>
      <c r="L2057" t="inlineStr">
        <is>
          <t>Primary</t>
        </is>
      </c>
    </row>
    <row r="2058">
      <c r="A2058" t="n">
        <v>1</v>
      </c>
      <c r="B2058" s="34" t="inlineStr">
        <is>
          <t>S14</t>
        </is>
      </c>
      <c r="C2058" t="inlineStr">
        <is>
          <t>WG-A</t>
        </is>
      </c>
      <c r="D2058" t="n">
        <v>12</v>
      </c>
      <c r="E2058" t="inlineStr">
        <is>
          <t>F0038</t>
        </is>
      </c>
      <c r="F2058" t="inlineStr">
        <is>
          <t>新北市三重區朝陽街80號</t>
        </is>
      </c>
      <c r="G2058" t="n">
        <v>25.0576695</v>
      </c>
      <c r="H2058" t="n">
        <v>121.4830201</v>
      </c>
      <c r="I2058" t="n">
        <v>8</v>
      </c>
      <c r="J2058" t="n">
        <v>3</v>
      </c>
      <c r="K2058" t="n">
        <v>339</v>
      </c>
      <c r="L2058" t="inlineStr">
        <is>
          <t>Primary</t>
        </is>
      </c>
    </row>
    <row r="2059">
      <c r="A2059" t="n">
        <v>1</v>
      </c>
      <c r="B2059" s="34" t="inlineStr">
        <is>
          <t>S14</t>
        </is>
      </c>
      <c r="C2059" t="inlineStr">
        <is>
          <t>WG-A</t>
        </is>
      </c>
      <c r="D2059" t="n">
        <v>13</v>
      </c>
      <c r="E2059" t="inlineStr">
        <is>
          <t>F0035</t>
        </is>
      </c>
      <c r="F2059" t="inlineStr">
        <is>
          <t>新北市三重區重陽路一段43巷4號旁</t>
        </is>
      </c>
      <c r="G2059" t="n">
        <v>25.0583826</v>
      </c>
      <c r="H2059" t="n">
        <v>121.4870833</v>
      </c>
      <c r="I2059" t="n">
        <v>8</v>
      </c>
      <c r="J2059" t="n">
        <v>3</v>
      </c>
      <c r="K2059" t="n">
        <v>350</v>
      </c>
      <c r="L2059" t="inlineStr">
        <is>
          <t>Primary</t>
        </is>
      </c>
    </row>
    <row r="2060">
      <c r="A2060" t="n">
        <v>1</v>
      </c>
      <c r="B2060" s="34" t="inlineStr">
        <is>
          <t>S14</t>
        </is>
      </c>
      <c r="C2060" t="inlineStr">
        <is>
          <t>WG-A</t>
        </is>
      </c>
      <c r="D2060" t="n">
        <v>14</v>
      </c>
      <c r="E2060" t="inlineStr">
        <is>
          <t>F0039</t>
        </is>
      </c>
      <c r="F2060" t="inlineStr">
        <is>
          <t>新北市三重區集美街58巷底</t>
        </is>
      </c>
      <c r="G2060" t="n">
        <v>25.0549262</v>
      </c>
      <c r="H2060" t="n">
        <v>121.4883878</v>
      </c>
      <c r="I2060" t="n">
        <v>8</v>
      </c>
      <c r="J2060" t="n">
        <v>3</v>
      </c>
      <c r="K2060" t="n">
        <v>361</v>
      </c>
      <c r="L2060" t="inlineStr">
        <is>
          <t>Primary</t>
        </is>
      </c>
    </row>
    <row r="2061">
      <c r="A2061" t="n">
        <v>1</v>
      </c>
      <c r="B2061" s="34" t="inlineStr">
        <is>
          <t>S14</t>
        </is>
      </c>
      <c r="C2061" t="inlineStr">
        <is>
          <t>WG-A</t>
        </is>
      </c>
      <c r="D2061" t="n">
        <v>15</v>
      </c>
      <c r="E2061" t="inlineStr">
        <is>
          <t>F0032</t>
        </is>
      </c>
      <c r="F2061" t="inlineStr">
        <is>
          <t>新北市三重區成功一街&amp;成功二街交叉口</t>
        </is>
      </c>
      <c r="G2061" t="n">
        <v>25.0503479</v>
      </c>
      <c r="H2061" t="n">
        <v>121.4872972</v>
      </c>
      <c r="I2061" t="n">
        <v>8</v>
      </c>
      <c r="J2061" t="n">
        <v>3</v>
      </c>
      <c r="K2061" t="n">
        <v>372</v>
      </c>
      <c r="L2061" t="inlineStr">
        <is>
          <t>Primary</t>
        </is>
      </c>
    </row>
    <row r="2062">
      <c r="A2062" t="n">
        <v>1</v>
      </c>
      <c r="B2062" s="34" t="inlineStr">
        <is>
          <t>S14</t>
        </is>
      </c>
      <c r="C2062" t="inlineStr">
        <is>
          <t>WG-A</t>
        </is>
      </c>
      <c r="D2062" t="n">
        <v>16</v>
      </c>
      <c r="E2062" t="inlineStr">
        <is>
          <t>F0044</t>
        </is>
      </c>
      <c r="F2062" t="inlineStr">
        <is>
          <t>新北市三重區環河南路&amp;成功二街交叉口</t>
        </is>
      </c>
      <c r="G2062" t="n">
        <v>25.0480246</v>
      </c>
      <c r="H2062" t="n">
        <v>121.48801</v>
      </c>
      <c r="I2062" t="n">
        <v>16</v>
      </c>
      <c r="J2062" t="n">
        <v>3</v>
      </c>
      <c r="K2062" t="n">
        <v>391</v>
      </c>
      <c r="L2062" t="inlineStr">
        <is>
          <t>Primary</t>
        </is>
      </c>
    </row>
    <row r="2063">
      <c r="A2063" t="n">
        <v>1</v>
      </c>
      <c r="B2063" s="34" t="inlineStr">
        <is>
          <t>S14</t>
        </is>
      </c>
      <c r="C2063" t="inlineStr">
        <is>
          <t>WG-A</t>
        </is>
      </c>
      <c r="D2063" t="n">
        <v>17</v>
      </c>
      <c r="E2063" t="inlineStr">
        <is>
          <t>F0158</t>
        </is>
      </c>
      <c r="F2063" t="inlineStr">
        <is>
          <t>新北市板橋區華江三路32-60號</t>
        </is>
      </c>
      <c r="G2063" t="n">
        <v>25.0367047</v>
      </c>
      <c r="H2063" t="n">
        <v>121.477922</v>
      </c>
      <c r="I2063" t="n">
        <v>19</v>
      </c>
      <c r="J2063" t="n">
        <v>3.9</v>
      </c>
      <c r="K2063" t="n">
        <v>413.9</v>
      </c>
      <c r="L2063" t="inlineStr">
        <is>
          <t>Primary</t>
        </is>
      </c>
    </row>
    <row r="2064">
      <c r="A2064" t="n">
        <v>1</v>
      </c>
      <c r="B2064" s="34" t="inlineStr">
        <is>
          <t>S14</t>
        </is>
      </c>
      <c r="C2064" t="inlineStr">
        <is>
          <t>WG-A</t>
        </is>
      </c>
      <c r="D2064" t="n">
        <v>18</v>
      </c>
      <c r="E2064" t="inlineStr">
        <is>
          <t>F0159</t>
        </is>
      </c>
      <c r="F2064" t="inlineStr">
        <is>
          <t>新北市板橋區華江三路32-60號-1F</t>
        </is>
      </c>
      <c r="G2064" t="n">
        <v>25.0367047</v>
      </c>
      <c r="H2064" t="n">
        <v>121.477922</v>
      </c>
      <c r="I2064" t="n">
        <v>8</v>
      </c>
      <c r="J2064" t="n">
        <v>2</v>
      </c>
      <c r="K2064" t="n">
        <v>423.9</v>
      </c>
      <c r="L2064" t="inlineStr">
        <is>
          <t>Primary</t>
        </is>
      </c>
    </row>
    <row r="2065">
      <c r="A2065" t="n">
        <v>1</v>
      </c>
      <c r="B2065" s="34" t="inlineStr">
        <is>
          <t>S14</t>
        </is>
      </c>
      <c r="C2065" t="inlineStr">
        <is>
          <t>WG-A</t>
        </is>
      </c>
      <c r="D2065" t="n">
        <v>19</v>
      </c>
      <c r="E2065" t="inlineStr">
        <is>
          <t>F0160</t>
        </is>
      </c>
      <c r="F2065" t="inlineStr">
        <is>
          <t>新北市板橋區華江三路32-60號-9F</t>
        </is>
      </c>
      <c r="G2065" t="n">
        <v>25.0367047</v>
      </c>
      <c r="H2065" t="n">
        <v>121.477922</v>
      </c>
      <c r="I2065" t="n">
        <v>19</v>
      </c>
      <c r="J2065" t="n">
        <v>2</v>
      </c>
      <c r="K2065" t="n">
        <v>444.9</v>
      </c>
      <c r="L2065" t="inlineStr">
        <is>
          <t>Primary</t>
        </is>
      </c>
    </row>
    <row r="2066">
      <c r="A2066" t="n">
        <v>1</v>
      </c>
      <c r="B2066" s="34" t="inlineStr">
        <is>
          <t>S14</t>
        </is>
      </c>
      <c r="C2066" t="inlineStr">
        <is>
          <t>WG-A</t>
        </is>
      </c>
      <c r="D2066" t="n">
        <v>20</v>
      </c>
      <c r="E2066" t="inlineStr">
        <is>
          <t>F0146</t>
        </is>
      </c>
      <c r="F2066" t="inlineStr">
        <is>
          <t>新北市板橋區文化路２段548巷13號</t>
        </is>
      </c>
      <c r="G2066" t="n">
        <v>25.0339235</v>
      </c>
      <c r="H2066" t="n">
        <v>121.476583</v>
      </c>
      <c r="I2066" t="n">
        <v>8</v>
      </c>
      <c r="J2066" t="n">
        <v>3</v>
      </c>
      <c r="K2066" t="n">
        <v>455.9</v>
      </c>
      <c r="L2066" t="inlineStr">
        <is>
          <t>Primary</t>
        </is>
      </c>
    </row>
    <row r="2067">
      <c r="A2067" t="n">
        <v>1</v>
      </c>
      <c r="B2067" s="34" t="inlineStr">
        <is>
          <t>S14</t>
        </is>
      </c>
      <c r="C2067" t="inlineStr">
        <is>
          <t>WG-A</t>
        </is>
      </c>
      <c r="D2067" t="n">
        <v>21</v>
      </c>
      <c r="E2067" t="inlineStr">
        <is>
          <t>F0147</t>
        </is>
      </c>
      <c r="F2067" t="inlineStr">
        <is>
          <t>新北市板橋區文化路２段548巷口工地</t>
        </is>
      </c>
      <c r="G2067" t="n">
        <v>25.0337594</v>
      </c>
      <c r="H2067" t="n">
        <v>121.4769689</v>
      </c>
      <c r="I2067" t="n">
        <v>8</v>
      </c>
      <c r="J2067" t="n">
        <v>2</v>
      </c>
      <c r="K2067" t="n">
        <v>465.9</v>
      </c>
      <c r="L2067" t="inlineStr">
        <is>
          <t>Primary</t>
        </is>
      </c>
    </row>
    <row r="2068">
      <c r="A2068" t="n">
        <v>1</v>
      </c>
      <c r="B2068" s="34" t="inlineStr">
        <is>
          <t>S14</t>
        </is>
      </c>
      <c r="C2068" t="inlineStr">
        <is>
          <t>WG-A</t>
        </is>
      </c>
      <c r="D2068" t="n">
        <v>22</v>
      </c>
      <c r="E2068" t="inlineStr">
        <is>
          <t>F0156</t>
        </is>
      </c>
      <c r="F2068" t="inlineStr">
        <is>
          <t>新北市板橋區華江三路211號旁</t>
        </is>
      </c>
      <c r="G2068" t="n">
        <v>25.0358363</v>
      </c>
      <c r="H2068" t="n">
        <v>121.4740436</v>
      </c>
      <c r="I2068" t="n">
        <v>8</v>
      </c>
      <c r="J2068" t="n">
        <v>3</v>
      </c>
      <c r="K2068" t="n">
        <v>476.9</v>
      </c>
      <c r="L2068" t="inlineStr">
        <is>
          <t>Primary</t>
        </is>
      </c>
    </row>
    <row r="2069">
      <c r="A2069" t="n">
        <v>1</v>
      </c>
      <c r="B2069" s="34" t="inlineStr">
        <is>
          <t>S14</t>
        </is>
      </c>
      <c r="C2069" t="inlineStr">
        <is>
          <t>WG-A</t>
        </is>
      </c>
      <c r="D2069" t="n">
        <v>23</v>
      </c>
      <c r="E2069" t="inlineStr">
        <is>
          <t>F0157</t>
        </is>
      </c>
      <c r="F2069" t="inlineStr">
        <is>
          <t>新北市板橋區華江三路211號旁-5F</t>
        </is>
      </c>
      <c r="G2069" t="n">
        <v>25.0358363</v>
      </c>
      <c r="H2069" t="n">
        <v>121.4740436</v>
      </c>
      <c r="I2069" t="n">
        <v>14</v>
      </c>
      <c r="J2069" t="n">
        <v>2</v>
      </c>
      <c r="K2069" t="n">
        <v>492.9</v>
      </c>
      <c r="L2069" t="inlineStr">
        <is>
          <t>Primary</t>
        </is>
      </c>
    </row>
    <row r="2070">
      <c r="A2070" t="n">
        <v>1</v>
      </c>
      <c r="B2070" s="34" t="inlineStr">
        <is>
          <t>S14</t>
        </is>
      </c>
      <c r="C2070" t="inlineStr">
        <is>
          <t>WG-A</t>
        </is>
      </c>
      <c r="D2070" t="n">
        <v>24</v>
      </c>
      <c r="E2070" t="inlineStr">
        <is>
          <t>F0163</t>
        </is>
      </c>
      <c r="F2070" t="inlineStr">
        <is>
          <t>新北市板橋區翠華街6巷及8巷交叉口工地</t>
        </is>
      </c>
      <c r="G2070" t="n">
        <v>25.0240148</v>
      </c>
      <c r="H2070" t="n">
        <v>121.4801524</v>
      </c>
      <c r="I2070" t="n">
        <v>8</v>
      </c>
      <c r="J2070" t="n">
        <v>3.5</v>
      </c>
      <c r="K2070" t="n">
        <v>504.4</v>
      </c>
      <c r="L2070" t="inlineStr">
        <is>
          <t>Primary</t>
        </is>
      </c>
    </row>
    <row r="2071">
      <c r="A2071" t="n">
        <v>1</v>
      </c>
      <c r="B2071" s="34" t="inlineStr">
        <is>
          <t>S14</t>
        </is>
      </c>
      <c r="C2071" t="inlineStr">
        <is>
          <t>WG-A</t>
        </is>
      </c>
      <c r="D2071" t="n">
        <v>25</v>
      </c>
      <c r="E2071" t="inlineStr">
        <is>
          <t>F0092</t>
        </is>
      </c>
      <c r="F2071" t="inlineStr">
        <is>
          <t>新北市中和區(板橋區)區環河西路３段200號(堤防旁停車場-電聯</t>
        </is>
      </c>
      <c r="G2071" t="n">
        <v>25.0160341</v>
      </c>
      <c r="H2071" t="n">
        <v>121.4863887</v>
      </c>
      <c r="I2071" t="n">
        <v>8</v>
      </c>
      <c r="J2071" t="n">
        <v>3</v>
      </c>
      <c r="K2071" t="n">
        <v>515.4</v>
      </c>
      <c r="L2071" t="inlineStr">
        <is>
          <t>Primary</t>
        </is>
      </c>
    </row>
    <row r="2072">
      <c r="A2072" t="n">
        <v>2</v>
      </c>
      <c r="B2072" s="34" t="inlineStr">
        <is>
          <t>S14</t>
        </is>
      </c>
      <c r="C2072" t="inlineStr">
        <is>
          <t>WG-A</t>
        </is>
      </c>
      <c r="D2072" t="n">
        <v>1</v>
      </c>
      <c r="E2072" t="inlineStr">
        <is>
          <t>F0322</t>
        </is>
      </c>
      <c r="F2072" t="inlineStr">
        <is>
          <t>新北市蘆洲區永安南路２段168號旁工地</t>
        </is>
      </c>
      <c r="G2072" t="n">
        <v>25.079153</v>
      </c>
      <c r="H2072" t="n">
        <v>121.4612032</v>
      </c>
      <c r="I2072" t="n">
        <v>8</v>
      </c>
      <c r="J2072" t="n">
        <v>5.3</v>
      </c>
      <c r="K2072" t="n">
        <v>13.3</v>
      </c>
      <c r="L2072" t="inlineStr">
        <is>
          <t>Primary</t>
        </is>
      </c>
    </row>
    <row r="2073">
      <c r="A2073" t="n">
        <v>2</v>
      </c>
      <c r="B2073" s="34" t="inlineStr">
        <is>
          <t>S14</t>
        </is>
      </c>
      <c r="C2073" t="inlineStr">
        <is>
          <t>WG-A</t>
        </is>
      </c>
      <c r="D2073" t="n">
        <v>2</v>
      </c>
      <c r="E2073" t="inlineStr">
        <is>
          <t>F0324</t>
        </is>
      </c>
      <c r="F2073" t="inlineStr">
        <is>
          <t>新北市蘆洲區長興路85號對面</t>
        </is>
      </c>
      <c r="G2073" t="n">
        <v>25.0847373</v>
      </c>
      <c r="H2073" t="n">
        <v>121.4620212</v>
      </c>
      <c r="I2073" t="n">
        <v>8</v>
      </c>
      <c r="J2073" t="n">
        <v>3</v>
      </c>
      <c r="K2073" t="n">
        <v>24.3</v>
      </c>
      <c r="L2073" t="inlineStr">
        <is>
          <t>Primary</t>
        </is>
      </c>
    </row>
    <row r="2074">
      <c r="A2074" t="n">
        <v>2</v>
      </c>
      <c r="B2074" s="34" t="inlineStr">
        <is>
          <t>S14</t>
        </is>
      </c>
      <c r="C2074" t="inlineStr">
        <is>
          <t>WG-A</t>
        </is>
      </c>
      <c r="D2074" t="n">
        <v>3</v>
      </c>
      <c r="E2074" t="inlineStr">
        <is>
          <t>F0323</t>
        </is>
      </c>
      <c r="F2074" t="inlineStr">
        <is>
          <t>新北市蘆洲區光榮路112號旁</t>
        </is>
      </c>
      <c r="G2074" t="n">
        <v>25.0893387</v>
      </c>
      <c r="H2074" t="n">
        <v>121.464545</v>
      </c>
      <c r="I2074" t="n">
        <v>8</v>
      </c>
      <c r="J2074" t="n">
        <v>3</v>
      </c>
      <c r="K2074" t="n">
        <v>35.3</v>
      </c>
      <c r="L2074" t="inlineStr">
        <is>
          <t>Primary</t>
        </is>
      </c>
    </row>
    <row r="2075">
      <c r="A2075" t="n">
        <v>2</v>
      </c>
      <c r="B2075" s="34" t="inlineStr">
        <is>
          <t>S14</t>
        </is>
      </c>
      <c r="C2075" t="inlineStr">
        <is>
          <t>WG-A</t>
        </is>
      </c>
      <c r="D2075" t="n">
        <v>4</v>
      </c>
      <c r="E2075" t="inlineStr">
        <is>
          <t>F0321</t>
        </is>
      </c>
      <c r="F2075" t="inlineStr">
        <is>
          <t>新北市蘆洲區中央路9號對面工地</t>
        </is>
      </c>
      <c r="G2075" t="n">
        <v>25.0841364</v>
      </c>
      <c r="H2075" t="n">
        <v>121.4732232</v>
      </c>
      <c r="I2075" t="n">
        <v>16</v>
      </c>
      <c r="J2075" t="n">
        <v>3</v>
      </c>
      <c r="K2075" t="n">
        <v>54.3</v>
      </c>
      <c r="L2075" t="inlineStr">
        <is>
          <t>Primary</t>
        </is>
      </c>
    </row>
    <row r="2076">
      <c r="A2076" t="n">
        <v>2</v>
      </c>
      <c r="B2076" s="34" t="inlineStr">
        <is>
          <t>S14</t>
        </is>
      </c>
      <c r="C2076" t="inlineStr">
        <is>
          <t>WG-A</t>
        </is>
      </c>
      <c r="D2076" t="n">
        <v>5</v>
      </c>
      <c r="E2076" t="inlineStr">
        <is>
          <t>F0040</t>
        </is>
      </c>
      <c r="F2076" t="inlineStr">
        <is>
          <t>新北市三重區集賢路168號旁</t>
        </is>
      </c>
      <c r="G2076" t="n">
        <v>25.0888724</v>
      </c>
      <c r="H2076" t="n">
        <v>121.484975</v>
      </c>
      <c r="I2076" t="n">
        <v>16</v>
      </c>
      <c r="J2076" t="n">
        <v>3.1</v>
      </c>
      <c r="K2076" t="n">
        <v>73.40000000000001</v>
      </c>
      <c r="L2076" t="inlineStr">
        <is>
          <t>Primary</t>
        </is>
      </c>
    </row>
    <row r="2077">
      <c r="A2077" t="n">
        <v>2</v>
      </c>
      <c r="B2077" s="34" t="inlineStr">
        <is>
          <t>S14</t>
        </is>
      </c>
      <c r="C2077" t="inlineStr">
        <is>
          <t>WG-A</t>
        </is>
      </c>
      <c r="D2077" t="n">
        <v>6</v>
      </c>
      <c r="E2077" t="inlineStr">
        <is>
          <t>F0041</t>
        </is>
      </c>
      <c r="F2077" t="inlineStr">
        <is>
          <t>新北市三重區福隆路24號</t>
        </is>
      </c>
      <c r="G2077" t="n">
        <v>25.0781125</v>
      </c>
      <c r="H2077" t="n">
        <v>121.4915612</v>
      </c>
      <c r="I2077" t="n">
        <v>8</v>
      </c>
      <c r="J2077" t="n">
        <v>3.3</v>
      </c>
      <c r="K2077" t="n">
        <v>84.7</v>
      </c>
      <c r="L2077" t="inlineStr">
        <is>
          <t>Primary</t>
        </is>
      </c>
    </row>
    <row r="2078">
      <c r="A2078" t="n">
        <v>2</v>
      </c>
      <c r="B2078" s="34" t="inlineStr">
        <is>
          <t>S14</t>
        </is>
      </c>
      <c r="C2078" t="inlineStr">
        <is>
          <t>WG-A</t>
        </is>
      </c>
      <c r="D2078" t="n">
        <v>7</v>
      </c>
      <c r="E2078" t="inlineStr">
        <is>
          <t>F0025</t>
        </is>
      </c>
      <c r="F2078" t="inlineStr">
        <is>
          <t>新北市三重區三和路４段44巷29號旁工地</t>
        </is>
      </c>
      <c r="G2078" t="n">
        <v>25.0739025</v>
      </c>
      <c r="H2078" t="n">
        <v>121.4891963</v>
      </c>
      <c r="I2078" t="n">
        <v>16</v>
      </c>
      <c r="J2078" t="n">
        <v>3</v>
      </c>
      <c r="K2078" t="n">
        <v>103.7</v>
      </c>
      <c r="L2078" t="inlineStr">
        <is>
          <t>Primary</t>
        </is>
      </c>
    </row>
    <row r="2079">
      <c r="A2079" t="n">
        <v>2</v>
      </c>
      <c r="B2079" s="34" t="inlineStr">
        <is>
          <t>S14</t>
        </is>
      </c>
      <c r="C2079" t="inlineStr">
        <is>
          <t>WG-A</t>
        </is>
      </c>
      <c r="D2079" t="n">
        <v>8</v>
      </c>
      <c r="E2079" t="inlineStr">
        <is>
          <t>F0026</t>
        </is>
      </c>
      <c r="F2079" t="inlineStr">
        <is>
          <t>新北市三重區三張街91號-厚德國小後門</t>
        </is>
      </c>
      <c r="G2079" t="n">
        <v>25.0707023</v>
      </c>
      <c r="H2079" t="n">
        <v>121.4895891</v>
      </c>
      <c r="I2079" t="n">
        <v>8</v>
      </c>
      <c r="J2079" t="n">
        <v>3</v>
      </c>
      <c r="K2079" t="n">
        <v>114.7</v>
      </c>
      <c r="L2079" t="inlineStr">
        <is>
          <t>Primary</t>
        </is>
      </c>
    </row>
    <row r="2080">
      <c r="A2080" t="n">
        <v>2</v>
      </c>
      <c r="B2080" s="34" t="inlineStr">
        <is>
          <t>S14</t>
        </is>
      </c>
      <c r="C2080" t="inlineStr">
        <is>
          <t>WG-A</t>
        </is>
      </c>
      <c r="D2080" t="n">
        <v>9</v>
      </c>
      <c r="E2080" t="inlineStr">
        <is>
          <t>F0043</t>
        </is>
      </c>
      <c r="F2080" t="inlineStr">
        <is>
          <t>新北市三重區龍門路-停車場</t>
        </is>
      </c>
      <c r="G2080" t="n">
        <v>25.0711874</v>
      </c>
      <c r="H2080" t="n">
        <v>121.4943945</v>
      </c>
      <c r="I2080" t="n">
        <v>32</v>
      </c>
      <c r="J2080" t="n">
        <v>3</v>
      </c>
      <c r="K2080" t="n">
        <v>149.7</v>
      </c>
      <c r="L2080" t="inlineStr">
        <is>
          <t>Primary</t>
        </is>
      </c>
    </row>
    <row r="2081">
      <c r="A2081" t="n">
        <v>2</v>
      </c>
      <c r="B2081" s="34" t="inlineStr">
        <is>
          <t>S14</t>
        </is>
      </c>
      <c r="C2081" t="inlineStr">
        <is>
          <t>WG-A</t>
        </is>
      </c>
      <c r="D2081" t="n">
        <v>10</v>
      </c>
      <c r="E2081" t="inlineStr">
        <is>
          <t>F0043</t>
        </is>
      </c>
      <c r="F2081" t="inlineStr">
        <is>
          <t>新北市三重區龍門路-停車場</t>
        </is>
      </c>
      <c r="G2081" t="n">
        <v>25.0711874</v>
      </c>
      <c r="H2081" t="n">
        <v>121.4943945</v>
      </c>
      <c r="I2081" t="n">
        <v>32</v>
      </c>
      <c r="J2081" t="n">
        <v>2</v>
      </c>
      <c r="K2081" t="n">
        <v>183.7</v>
      </c>
      <c r="L2081" t="inlineStr">
        <is>
          <t>Primary</t>
        </is>
      </c>
    </row>
    <row r="2082">
      <c r="A2082" t="n">
        <v>2</v>
      </c>
      <c r="B2082" s="34" t="inlineStr">
        <is>
          <t>S14</t>
        </is>
      </c>
      <c r="C2082" t="inlineStr">
        <is>
          <t>WG-C</t>
        </is>
      </c>
      <c r="D2082" t="n">
        <v>11</v>
      </c>
      <c r="E2082" t="inlineStr">
        <is>
          <t>F0034</t>
        </is>
      </c>
      <c r="F2082" t="inlineStr">
        <is>
          <t>新北市三重區信義西街-信義公園內鎮安宮前廣場</t>
        </is>
      </c>
      <c r="G2082" t="n">
        <v>25.0649186</v>
      </c>
      <c r="H2082" t="n">
        <v>121.4985812</v>
      </c>
      <c r="I2082" t="n">
        <v>32</v>
      </c>
      <c r="J2082" t="n">
        <v>3</v>
      </c>
      <c r="K2082" t="n">
        <v>218.7</v>
      </c>
      <c r="L2082" t="inlineStr">
        <is>
          <t>Primary</t>
        </is>
      </c>
    </row>
    <row r="2083">
      <c r="A2083" t="n">
        <v>2</v>
      </c>
      <c r="B2083" s="34" t="inlineStr">
        <is>
          <t>S14</t>
        </is>
      </c>
      <c r="C2083" t="inlineStr">
        <is>
          <t>WG-C</t>
        </is>
      </c>
      <c r="D2083" t="n">
        <v>12</v>
      </c>
      <c r="E2083" t="inlineStr">
        <is>
          <t>F0034</t>
        </is>
      </c>
      <c r="F2083" t="inlineStr">
        <is>
          <t>新北市三重區信義西街-信義公園內鎮安宮前廣場</t>
        </is>
      </c>
      <c r="G2083" t="n">
        <v>25.0649186</v>
      </c>
      <c r="H2083" t="n">
        <v>121.4985812</v>
      </c>
      <c r="I2083" t="n">
        <v>32</v>
      </c>
      <c r="J2083" t="n">
        <v>2</v>
      </c>
      <c r="K2083" t="n">
        <v>252.7</v>
      </c>
      <c r="L2083" t="inlineStr">
        <is>
          <t>Primary</t>
        </is>
      </c>
    </row>
    <row r="2084">
      <c r="A2084" t="n">
        <v>2</v>
      </c>
      <c r="B2084" s="34" t="inlineStr">
        <is>
          <t>S14</t>
        </is>
      </c>
      <c r="C2084" t="inlineStr">
        <is>
          <t>WG-A</t>
        </is>
      </c>
      <c r="D2084" t="n">
        <v>13</v>
      </c>
      <c r="E2084" t="inlineStr">
        <is>
          <t>F0029</t>
        </is>
      </c>
      <c r="F2084" t="inlineStr">
        <is>
          <t>新北市三重區仁慈街&amp;福德南路交叉口</t>
        </is>
      </c>
      <c r="G2084" t="n">
        <v>25.0631883</v>
      </c>
      <c r="H2084" t="n">
        <v>121.5027404</v>
      </c>
      <c r="I2084" t="n">
        <v>8</v>
      </c>
      <c r="J2084" t="n">
        <v>3</v>
      </c>
      <c r="K2084" t="n">
        <v>263.7</v>
      </c>
      <c r="L2084" t="inlineStr">
        <is>
          <t>Primary</t>
        </is>
      </c>
    </row>
    <row r="2085">
      <c r="A2085" t="n">
        <v>2</v>
      </c>
      <c r="B2085" s="34" t="inlineStr">
        <is>
          <t>S14</t>
        </is>
      </c>
      <c r="C2085" t="inlineStr">
        <is>
          <t>WG-A</t>
        </is>
      </c>
      <c r="D2085" t="n">
        <v>14</v>
      </c>
      <c r="E2085" t="inlineStr">
        <is>
          <t>F0033</t>
        </is>
      </c>
      <c r="F2085" t="inlineStr">
        <is>
          <t>新北市三重區車路頭街117巷63號</t>
        </is>
      </c>
      <c r="G2085" t="n">
        <v>25.0756691</v>
      </c>
      <c r="H2085" t="n">
        <v>121.4856028</v>
      </c>
      <c r="I2085" t="n">
        <v>8</v>
      </c>
      <c r="J2085" t="n">
        <v>5.3</v>
      </c>
      <c r="K2085" t="n">
        <v>277</v>
      </c>
      <c r="L2085" t="inlineStr">
        <is>
          <t>Primary</t>
        </is>
      </c>
    </row>
    <row r="2086">
      <c r="A2086" t="n">
        <v>2</v>
      </c>
      <c r="B2086" s="34" t="inlineStr">
        <is>
          <t>S14</t>
        </is>
      </c>
      <c r="C2086" t="inlineStr">
        <is>
          <t>WG-A</t>
        </is>
      </c>
      <c r="D2086" t="n">
        <v>15</v>
      </c>
      <c r="E2086" t="inlineStr">
        <is>
          <t>F0024</t>
        </is>
      </c>
      <c r="F2086" t="inlineStr">
        <is>
          <t>新北市三重區三民街215號</t>
        </is>
      </c>
      <c r="G2086" t="n">
        <v>25.0670658</v>
      </c>
      <c r="H2086" t="n">
        <v>121.480765</v>
      </c>
      <c r="I2086" t="n">
        <v>8</v>
      </c>
      <c r="J2086" t="n">
        <v>3</v>
      </c>
      <c r="K2086" t="n">
        <v>288</v>
      </c>
      <c r="L2086" t="inlineStr">
        <is>
          <t>Primary</t>
        </is>
      </c>
    </row>
    <row r="2087">
      <c r="A2087" t="n">
        <v>2</v>
      </c>
      <c r="B2087" s="34" t="inlineStr">
        <is>
          <t>S14</t>
        </is>
      </c>
      <c r="C2087" t="inlineStr">
        <is>
          <t>WG-A</t>
        </is>
      </c>
      <c r="D2087" t="n">
        <v>16</v>
      </c>
      <c r="E2087" t="inlineStr">
        <is>
          <t>F0037</t>
        </is>
      </c>
      <c r="F2087" t="inlineStr">
        <is>
          <t>新北市三重區頂崁街210巷66弄16號旁</t>
        </is>
      </c>
      <c r="G2087" t="n">
        <v>25.067401</v>
      </c>
      <c r="H2087" t="n">
        <v>121.4747071</v>
      </c>
      <c r="I2087" t="n">
        <v>16</v>
      </c>
      <c r="J2087" t="n">
        <v>3</v>
      </c>
      <c r="K2087" t="n">
        <v>307</v>
      </c>
      <c r="L2087" t="inlineStr">
        <is>
          <t>Primary</t>
        </is>
      </c>
    </row>
    <row r="2088">
      <c r="A2088" t="n">
        <v>2</v>
      </c>
      <c r="B2088" s="34" t="inlineStr">
        <is>
          <t>S14</t>
        </is>
      </c>
      <c r="C2088" t="inlineStr">
        <is>
          <t>WG-A</t>
        </is>
      </c>
      <c r="D2088" t="n">
        <v>17</v>
      </c>
      <c r="E2088" t="inlineStr">
        <is>
          <t>F0027</t>
        </is>
      </c>
      <c r="F2088" t="inlineStr">
        <is>
          <t>新北市三重區大有街16-1號</t>
        </is>
      </c>
      <c r="G2088" t="n">
        <v>25.066714</v>
      </c>
      <c r="H2088" t="n">
        <v>121.47447</v>
      </c>
      <c r="I2088" t="n">
        <v>16</v>
      </c>
      <c r="J2088" t="n">
        <v>2</v>
      </c>
      <c r="K2088" t="n">
        <v>325</v>
      </c>
      <c r="L2088" t="inlineStr">
        <is>
          <t>Primary</t>
        </is>
      </c>
    </row>
    <row r="2089">
      <c r="A2089" t="n">
        <v>2</v>
      </c>
      <c r="B2089" s="34" t="inlineStr">
        <is>
          <t>S14</t>
        </is>
      </c>
      <c r="C2089" t="inlineStr">
        <is>
          <t>WG-A</t>
        </is>
      </c>
      <c r="D2089" t="n">
        <v>18</v>
      </c>
      <c r="E2089" t="inlineStr">
        <is>
          <t>F0028</t>
        </is>
      </c>
      <c r="F2089" t="inlineStr">
        <is>
          <t>新北市三重區大有街17-1號</t>
        </is>
      </c>
      <c r="G2089" t="n">
        <v>25.067075</v>
      </c>
      <c r="H2089" t="n">
        <v>121.473596</v>
      </c>
      <c r="I2089" t="n">
        <v>16</v>
      </c>
      <c r="J2089" t="n">
        <v>2</v>
      </c>
      <c r="K2089" t="n">
        <v>343</v>
      </c>
      <c r="L2089" t="inlineStr">
        <is>
          <t>Primary</t>
        </is>
      </c>
    </row>
    <row r="2090">
      <c r="A2090" t="n">
        <v>2</v>
      </c>
      <c r="B2090" s="34" t="inlineStr">
        <is>
          <t>S14</t>
        </is>
      </c>
      <c r="C2090" t="inlineStr">
        <is>
          <t>WG-A</t>
        </is>
      </c>
      <c r="D2090" t="n">
        <v>19</v>
      </c>
      <c r="E2090" t="inlineStr">
        <is>
          <t>F0299</t>
        </is>
      </c>
      <c r="F2090" t="inlineStr">
        <is>
          <t>新北市新莊區碧江街18號旁工地-8F</t>
        </is>
      </c>
      <c r="G2090" t="n">
        <v>25.0350104</v>
      </c>
      <c r="H2090" t="n">
        <v>121.4554937</v>
      </c>
      <c r="I2090" t="n">
        <v>29</v>
      </c>
      <c r="J2090" t="n">
        <v>9.6</v>
      </c>
      <c r="K2090" t="n">
        <v>381.6</v>
      </c>
      <c r="L2090" t="inlineStr">
        <is>
          <t>Primary</t>
        </is>
      </c>
    </row>
    <row r="2091">
      <c r="A2091" t="n">
        <v>2</v>
      </c>
      <c r="B2091" s="34" t="inlineStr">
        <is>
          <t>S14</t>
        </is>
      </c>
      <c r="C2091" t="inlineStr">
        <is>
          <t>WG-A</t>
        </is>
      </c>
      <c r="D2091" t="n">
        <v>20</v>
      </c>
      <c r="E2091" t="inlineStr">
        <is>
          <t>F0150</t>
        </is>
      </c>
      <c r="F2091" t="inlineStr">
        <is>
          <t>新北市板橋區四川路１段88號</t>
        </is>
      </c>
      <c r="G2091" t="n">
        <v>24.9959969</v>
      </c>
      <c r="H2091" t="n">
        <v>121.4559288</v>
      </c>
      <c r="I2091" t="n">
        <v>8</v>
      </c>
      <c r="J2091" t="n">
        <v>10.4</v>
      </c>
      <c r="K2091" t="n">
        <v>400</v>
      </c>
      <c r="L2091" t="inlineStr">
        <is>
          <t>Primary</t>
        </is>
      </c>
    </row>
    <row r="2092">
      <c r="A2092" t="n">
        <v>2</v>
      </c>
      <c r="B2092" s="34" t="inlineStr">
        <is>
          <t>S14</t>
        </is>
      </c>
      <c r="C2092" t="inlineStr">
        <is>
          <t>WG-A</t>
        </is>
      </c>
      <c r="D2092" t="n">
        <v>21</v>
      </c>
      <c r="E2092" t="inlineStr">
        <is>
          <t>F0165</t>
        </is>
      </c>
      <c r="F2092" t="inlineStr">
        <is>
          <t>新北市板橋區環漢路四段668之1號</t>
        </is>
      </c>
      <c r="G2092" t="n">
        <v>24.986794</v>
      </c>
      <c r="H2092" t="n">
        <v>121.4339306</v>
      </c>
      <c r="I2092" t="n">
        <v>8</v>
      </c>
      <c r="J2092" t="n">
        <v>5.9</v>
      </c>
      <c r="K2092" t="n">
        <v>413.9</v>
      </c>
      <c r="L2092" t="inlineStr">
        <is>
          <t>Primary</t>
        </is>
      </c>
    </row>
    <row r="2093">
      <c r="A2093" t="n">
        <v>2</v>
      </c>
      <c r="B2093" s="34" t="inlineStr">
        <is>
          <t>S14</t>
        </is>
      </c>
      <c r="C2093" t="inlineStr">
        <is>
          <t>WG-A</t>
        </is>
      </c>
      <c r="D2093" t="n">
        <v>22</v>
      </c>
      <c r="E2093" t="inlineStr">
        <is>
          <t>F0166</t>
        </is>
      </c>
      <c r="F2093" t="inlineStr">
        <is>
          <t>新北市板橋區環漢路四段668之3號</t>
        </is>
      </c>
      <c r="G2093" t="n">
        <v>24.986794</v>
      </c>
      <c r="H2093" t="n">
        <v>121.4339306</v>
      </c>
      <c r="I2093" t="n">
        <v>8</v>
      </c>
      <c r="J2093" t="n">
        <v>2</v>
      </c>
      <c r="K2093" t="n">
        <v>423.9</v>
      </c>
      <c r="L2093" t="inlineStr">
        <is>
          <t>Primary</t>
        </is>
      </c>
    </row>
    <row r="2094">
      <c r="A2094" t="n">
        <v>2</v>
      </c>
      <c r="B2094" s="34" t="inlineStr">
        <is>
          <t>S14</t>
        </is>
      </c>
      <c r="C2094" t="inlineStr">
        <is>
          <t>WG-A</t>
        </is>
      </c>
      <c r="D2094" t="n">
        <v>23</v>
      </c>
      <c r="E2094" t="inlineStr">
        <is>
          <t>F0114</t>
        </is>
      </c>
      <c r="F2094" t="inlineStr">
        <is>
          <t>新北市五股區疏洪北路9-1號</t>
        </is>
      </c>
      <c r="G2094" t="n">
        <v>25.1020138</v>
      </c>
      <c r="H2094" t="n">
        <v>121.4537374</v>
      </c>
      <c r="I2094" t="n">
        <v>64</v>
      </c>
      <c r="J2094" t="n">
        <v>13</v>
      </c>
      <c r="K2094" t="n">
        <v>500.9</v>
      </c>
      <c r="L2094" t="inlineStr">
        <is>
          <t>Primary</t>
        </is>
      </c>
    </row>
    <row r="2095">
      <c r="A2095" t="n">
        <v>2</v>
      </c>
      <c r="B2095" s="34" t="inlineStr">
        <is>
          <t>S14</t>
        </is>
      </c>
      <c r="C2095" t="inlineStr">
        <is>
          <t>WG-A</t>
        </is>
      </c>
      <c r="D2095" t="n">
        <v>24</v>
      </c>
      <c r="E2095" t="inlineStr">
        <is>
          <t>F0112</t>
        </is>
      </c>
      <c r="F2095" t="inlineStr">
        <is>
          <t>新北市五股區成泰路三段601巷24號</t>
        </is>
      </c>
      <c r="G2095" t="n">
        <v>25.1035061</v>
      </c>
      <c r="H2095" t="n">
        <v>121.4519123</v>
      </c>
      <c r="I2095" t="n">
        <v>8</v>
      </c>
      <c r="J2095" t="n">
        <v>3</v>
      </c>
      <c r="K2095" t="n">
        <v>511.9</v>
      </c>
      <c r="L2095" t="inlineStr">
        <is>
          <t>Primary</t>
        </is>
      </c>
    </row>
    <row r="2096">
      <c r="A2096" t="n">
        <v>2</v>
      </c>
      <c r="B2096" s="34" t="inlineStr">
        <is>
          <t>S14</t>
        </is>
      </c>
      <c r="C2096" t="inlineStr">
        <is>
          <t>WG-A</t>
        </is>
      </c>
      <c r="D2096" t="n">
        <v>25</v>
      </c>
      <c r="E2096" t="inlineStr">
        <is>
          <t>F0106</t>
        </is>
      </c>
      <c r="F2096" t="inlineStr">
        <is>
          <t>新北市五股區天乙路14號</t>
        </is>
      </c>
      <c r="G2096" t="n">
        <v>25.1031685</v>
      </c>
      <c r="H2096" t="n">
        <v>121.449118</v>
      </c>
      <c r="I2096" t="n">
        <v>8</v>
      </c>
      <c r="J2096" t="n">
        <v>3</v>
      </c>
      <c r="K2096" t="n">
        <v>522.9</v>
      </c>
      <c r="L2096" t="inlineStr">
        <is>
          <t>Primary</t>
        </is>
      </c>
    </row>
    <row r="2097">
      <c r="A2097" t="n">
        <v>3</v>
      </c>
      <c r="B2097" s="34" t="inlineStr">
        <is>
          <t>S14</t>
        </is>
      </c>
      <c r="C2097" t="inlineStr">
        <is>
          <t>WG-B</t>
        </is>
      </c>
      <c r="D2097" t="n">
        <v>1</v>
      </c>
      <c r="E2097" t="inlineStr">
        <is>
          <t>A0153</t>
        </is>
      </c>
      <c r="F2097" t="inlineStr">
        <is>
          <t>臺北市北投區大度路一段177號</t>
        </is>
      </c>
      <c r="G2097" t="n">
        <v>25.1213495</v>
      </c>
      <c r="H2097" t="n">
        <v>121.4857871</v>
      </c>
      <c r="I2097" t="n">
        <v>8</v>
      </c>
      <c r="J2097" t="n">
        <v>17.3</v>
      </c>
      <c r="K2097" t="n">
        <v>25.3</v>
      </c>
      <c r="L2097" t="inlineStr">
        <is>
          <t>Primary</t>
        </is>
      </c>
    </row>
    <row r="2098">
      <c r="A2098" t="n">
        <v>3</v>
      </c>
      <c r="B2098" s="34" t="inlineStr">
        <is>
          <t>S14</t>
        </is>
      </c>
      <c r="C2098" t="inlineStr">
        <is>
          <t>WG-B</t>
        </is>
      </c>
      <c r="D2098" t="n">
        <v>2</v>
      </c>
      <c r="E2098" t="inlineStr">
        <is>
          <t>A0167</t>
        </is>
      </c>
      <c r="F2098" t="inlineStr">
        <is>
          <t>臺北市北投區承德路七段&amp;公館路</t>
        </is>
      </c>
      <c r="G2098" t="n">
        <v>25.1194442</v>
      </c>
      <c r="H2098" t="n">
        <v>121.5014286</v>
      </c>
      <c r="I2098" t="n">
        <v>16</v>
      </c>
      <c r="J2098" t="n">
        <v>3.8</v>
      </c>
      <c r="K2098" t="n">
        <v>45.1</v>
      </c>
      <c r="L2098" t="inlineStr">
        <is>
          <t>Primary</t>
        </is>
      </c>
    </row>
    <row r="2099">
      <c r="A2099" t="n">
        <v>3</v>
      </c>
      <c r="B2099" s="34" t="inlineStr">
        <is>
          <t>S14</t>
        </is>
      </c>
      <c r="C2099" t="inlineStr">
        <is>
          <t>WG-B</t>
        </is>
      </c>
      <c r="D2099" t="n">
        <v>3</v>
      </c>
      <c r="E2099" t="inlineStr">
        <is>
          <t>A0168</t>
        </is>
      </c>
      <c r="F2099" t="inlineStr">
        <is>
          <t>臺北市北投區承德路七段&amp;公館路口</t>
        </is>
      </c>
      <c r="G2099" t="n">
        <v>25.1158207</v>
      </c>
      <c r="H2099" t="n">
        <v>121.5054245</v>
      </c>
      <c r="I2099" t="n">
        <v>16</v>
      </c>
      <c r="J2099" t="n">
        <v>3</v>
      </c>
      <c r="K2099" t="n">
        <v>64.09999999999999</v>
      </c>
      <c r="L2099" t="inlineStr">
        <is>
          <t>Primary</t>
        </is>
      </c>
    </row>
    <row r="2100">
      <c r="A2100" t="n">
        <v>3</v>
      </c>
      <c r="B2100" s="34" t="inlineStr">
        <is>
          <t>S14</t>
        </is>
      </c>
      <c r="C2100" t="inlineStr">
        <is>
          <t>WG-B</t>
        </is>
      </c>
      <c r="D2100" t="n">
        <v>4</v>
      </c>
      <c r="E2100" t="inlineStr">
        <is>
          <t>A0170</t>
        </is>
      </c>
      <c r="F2100" t="inlineStr">
        <is>
          <t>臺北市北投區承德路六段&amp;文林北路-1F 追加</t>
        </is>
      </c>
      <c r="G2100" t="n">
        <v>25.1100926</v>
      </c>
      <c r="H2100" t="n">
        <v>121.5107064</v>
      </c>
      <c r="I2100" t="n">
        <v>8</v>
      </c>
      <c r="J2100" t="n">
        <v>3</v>
      </c>
      <c r="K2100" t="n">
        <v>75.09999999999999</v>
      </c>
      <c r="L2100" t="inlineStr">
        <is>
          <t>Primary</t>
        </is>
      </c>
    </row>
    <row r="2101">
      <c r="A2101" t="n">
        <v>3</v>
      </c>
      <c r="B2101" s="34" t="inlineStr">
        <is>
          <t>S14</t>
        </is>
      </c>
      <c r="C2101" t="inlineStr">
        <is>
          <t>WG-B</t>
        </is>
      </c>
      <c r="D2101" t="n">
        <v>5</v>
      </c>
      <c r="E2101" t="inlineStr">
        <is>
          <t>A0169</t>
        </is>
      </c>
      <c r="F2101" t="inlineStr">
        <is>
          <t>臺北市北投區承德路六段&amp;文林北路</t>
        </is>
      </c>
      <c r="G2101" t="n">
        <v>25.1104743</v>
      </c>
      <c r="H2101" t="n">
        <v>121.5113713</v>
      </c>
      <c r="I2101" t="n">
        <v>16</v>
      </c>
      <c r="J2101" t="n">
        <v>2</v>
      </c>
      <c r="K2101" t="n">
        <v>93.09999999999999</v>
      </c>
      <c r="L2101" t="inlineStr">
        <is>
          <t>Primary</t>
        </is>
      </c>
    </row>
    <row r="2102">
      <c r="A2102" t="n">
        <v>3</v>
      </c>
      <c r="B2102" s="34" t="inlineStr">
        <is>
          <t>S14</t>
        </is>
      </c>
      <c r="C2102" t="inlineStr">
        <is>
          <t>WG-B</t>
        </is>
      </c>
      <c r="D2102" t="n">
        <v>6</v>
      </c>
      <c r="E2102" t="inlineStr">
        <is>
          <t>A0159</t>
        </is>
      </c>
      <c r="F2102" t="inlineStr">
        <is>
          <t>臺北市北投區文林北路200號</t>
        </is>
      </c>
      <c r="G2102" t="n">
        <v>25.107326</v>
      </c>
      <c r="H2102" t="n">
        <v>121.5154747</v>
      </c>
      <c r="I2102" t="n">
        <v>8</v>
      </c>
      <c r="J2102" t="n">
        <v>3</v>
      </c>
      <c r="K2102" t="n">
        <v>104.1</v>
      </c>
      <c r="L2102" t="inlineStr">
        <is>
          <t>Primary</t>
        </is>
      </c>
    </row>
    <row r="2103">
      <c r="A2103" t="n">
        <v>3</v>
      </c>
      <c r="B2103" s="34" t="inlineStr">
        <is>
          <t>S14</t>
        </is>
      </c>
      <c r="C2103" t="inlineStr">
        <is>
          <t>WG-B</t>
        </is>
      </c>
      <c r="D2103" t="n">
        <v>7</v>
      </c>
      <c r="E2103" t="inlineStr">
        <is>
          <t>A0171</t>
        </is>
      </c>
      <c r="F2103" t="inlineStr">
        <is>
          <t>臺北市北投區東陽街497號</t>
        </is>
      </c>
      <c r="G2103" t="n">
        <v>25.1121957</v>
      </c>
      <c r="H2103" t="n">
        <v>121.5208038</v>
      </c>
      <c r="I2103" t="n">
        <v>16</v>
      </c>
      <c r="J2103" t="n">
        <v>3</v>
      </c>
      <c r="K2103" t="n">
        <v>123.1</v>
      </c>
      <c r="L2103" t="inlineStr">
        <is>
          <t>Primary</t>
        </is>
      </c>
    </row>
    <row r="2104">
      <c r="A2104" t="n">
        <v>3</v>
      </c>
      <c r="B2104" s="34" t="inlineStr">
        <is>
          <t>S14</t>
        </is>
      </c>
      <c r="C2104" t="inlineStr">
        <is>
          <t>WG-B</t>
        </is>
      </c>
      <c r="D2104" t="n">
        <v>8</v>
      </c>
      <c r="E2104" t="inlineStr">
        <is>
          <t>A0161</t>
        </is>
      </c>
      <c r="F2104" t="inlineStr">
        <is>
          <t>臺北市北投區石牌路2段315巷底</t>
        </is>
      </c>
      <c r="G2104" t="n">
        <v>25.1224363</v>
      </c>
      <c r="H2104" t="n">
        <v>121.5221074</v>
      </c>
      <c r="I2104" t="n">
        <v>16</v>
      </c>
      <c r="J2104" t="n">
        <v>3</v>
      </c>
      <c r="K2104" t="n">
        <v>142.1</v>
      </c>
      <c r="L2104" t="inlineStr">
        <is>
          <t>Primary</t>
        </is>
      </c>
    </row>
    <row r="2105">
      <c r="A2105" t="n">
        <v>3</v>
      </c>
      <c r="B2105" s="34" t="inlineStr">
        <is>
          <t>S14</t>
        </is>
      </c>
      <c r="C2105" t="inlineStr">
        <is>
          <t>WG-B</t>
        </is>
      </c>
      <c r="D2105" t="n">
        <v>9</v>
      </c>
      <c r="E2105" t="inlineStr">
        <is>
          <t>A0163</t>
        </is>
      </c>
      <c r="F2105" t="inlineStr">
        <is>
          <t>臺北市北投區行義路112巷4號</t>
        </is>
      </c>
      <c r="G2105" t="n">
        <v>25.1276612</v>
      </c>
      <c r="H2105" t="n">
        <v>121.5296119</v>
      </c>
      <c r="I2105" t="n">
        <v>8</v>
      </c>
      <c r="J2105" t="n">
        <v>3</v>
      </c>
      <c r="K2105" t="n">
        <v>153.1</v>
      </c>
      <c r="L2105" t="inlineStr">
        <is>
          <t>Primary</t>
        </is>
      </c>
    </row>
    <row r="2106">
      <c r="A2106" t="n">
        <v>3</v>
      </c>
      <c r="B2106" s="34" t="inlineStr">
        <is>
          <t>S14</t>
        </is>
      </c>
      <c r="C2106" t="inlineStr">
        <is>
          <t>WG-B</t>
        </is>
      </c>
      <c r="D2106" t="n">
        <v>10</v>
      </c>
      <c r="E2106" t="inlineStr">
        <is>
          <t>A0150</t>
        </is>
      </c>
      <c r="F2106" t="inlineStr">
        <is>
          <t>臺北市北投區三合街１段99號旁</t>
        </is>
      </c>
      <c r="G2106" t="n">
        <v>25.1272627</v>
      </c>
      <c r="H2106" t="n">
        <v>121.5058598</v>
      </c>
      <c r="I2106" t="n">
        <v>16</v>
      </c>
      <c r="J2106" t="n">
        <v>5.7</v>
      </c>
      <c r="K2106" t="n">
        <v>174.8</v>
      </c>
      <c r="L2106" t="inlineStr">
        <is>
          <t>Primary</t>
        </is>
      </c>
    </row>
    <row r="2107">
      <c r="A2107" t="n">
        <v>3</v>
      </c>
      <c r="B2107" s="34" t="inlineStr">
        <is>
          <t>S14</t>
        </is>
      </c>
      <c r="C2107" t="inlineStr">
        <is>
          <t>WG-B</t>
        </is>
      </c>
      <c r="D2107" t="n">
        <v>11</v>
      </c>
      <c r="E2107" t="inlineStr">
        <is>
          <t>A0160</t>
        </is>
      </c>
      <c r="F2107" t="inlineStr">
        <is>
          <t>臺北市北投區民權街8號</t>
        </is>
      </c>
      <c r="G2107" t="n">
        <v>25.1291839</v>
      </c>
      <c r="H2107" t="n">
        <v>121.5015483</v>
      </c>
      <c r="I2107" t="n">
        <v>8</v>
      </c>
      <c r="J2107" t="n">
        <v>3</v>
      </c>
      <c r="K2107" t="n">
        <v>185.8</v>
      </c>
      <c r="L2107" t="inlineStr">
        <is>
          <t>Primary</t>
        </is>
      </c>
    </row>
    <row r="2108">
      <c r="A2108" t="n">
        <v>3</v>
      </c>
      <c r="B2108" s="34" t="inlineStr">
        <is>
          <t>S14</t>
        </is>
      </c>
      <c r="C2108" t="inlineStr">
        <is>
          <t>WG-B</t>
        </is>
      </c>
      <c r="D2108" t="n">
        <v>12</v>
      </c>
      <c r="E2108" t="inlineStr">
        <is>
          <t>A0156</t>
        </is>
      </c>
      <c r="F2108" t="inlineStr">
        <is>
          <t>臺北市北投區中央南路一段77號</t>
        </is>
      </c>
      <c r="G2108" t="n">
        <v>25.1312866</v>
      </c>
      <c r="H2108" t="n">
        <v>121.5013656</v>
      </c>
      <c r="I2108" t="n">
        <v>8</v>
      </c>
      <c r="J2108" t="n">
        <v>3</v>
      </c>
      <c r="K2108" t="n">
        <v>196.8</v>
      </c>
      <c r="L2108" t="inlineStr">
        <is>
          <t>Primary</t>
        </is>
      </c>
    </row>
    <row r="2109">
      <c r="A2109" t="n">
        <v>3</v>
      </c>
      <c r="B2109" s="34" t="inlineStr">
        <is>
          <t>S14</t>
        </is>
      </c>
      <c r="C2109" t="inlineStr">
        <is>
          <t>WG-B</t>
        </is>
      </c>
      <c r="D2109" t="n">
        <v>13</v>
      </c>
      <c r="E2109" t="inlineStr">
        <is>
          <t>F0244</t>
        </is>
      </c>
      <c r="F2109" t="inlineStr">
        <is>
          <t>新北市淡水區八勢一街16號-工務所</t>
        </is>
      </c>
      <c r="G2109" t="n">
        <v>25.1558766</v>
      </c>
      <c r="H2109" t="n">
        <v>121.4602527</v>
      </c>
      <c r="I2109" t="n">
        <v>16</v>
      </c>
      <c r="J2109" t="n">
        <v>11.9</v>
      </c>
      <c r="K2109" t="n">
        <v>224.7</v>
      </c>
      <c r="L2109" t="inlineStr">
        <is>
          <t>Primary</t>
        </is>
      </c>
    </row>
    <row r="2110">
      <c r="A2110" t="n">
        <v>3</v>
      </c>
      <c r="B2110" s="34" t="inlineStr">
        <is>
          <t>S14</t>
        </is>
      </c>
      <c r="C2110" t="inlineStr">
        <is>
          <t>WG-B</t>
        </is>
      </c>
      <c r="D2110" t="n">
        <v>14</v>
      </c>
      <c r="E2110" t="inlineStr">
        <is>
          <t>F0248</t>
        </is>
      </c>
      <c r="F2110" t="inlineStr">
        <is>
          <t>新北市淡水區中正東路與淡金路交叉口</t>
        </is>
      </c>
      <c r="G2110" t="n">
        <v>25.1578815</v>
      </c>
      <c r="H2110" t="n">
        <v>121.458036</v>
      </c>
      <c r="I2110" t="n">
        <v>16</v>
      </c>
      <c r="J2110" t="n">
        <v>3</v>
      </c>
      <c r="K2110" t="n">
        <v>243.7</v>
      </c>
      <c r="L2110" t="inlineStr">
        <is>
          <t>Primary</t>
        </is>
      </c>
    </row>
    <row r="2111">
      <c r="A2111" t="n">
        <v>3</v>
      </c>
      <c r="B2111" s="34" t="inlineStr">
        <is>
          <t>S14</t>
        </is>
      </c>
      <c r="C2111" t="inlineStr">
        <is>
          <t>WG-B</t>
        </is>
      </c>
      <c r="D2111" t="n">
        <v>15</v>
      </c>
      <c r="E2111" t="inlineStr">
        <is>
          <t>F0247</t>
        </is>
      </c>
      <c r="F2111" t="inlineStr">
        <is>
          <t>新北市淡水區中正東路2段143巷12弄40號旁</t>
        </is>
      </c>
      <c r="G2111" t="n">
        <v>25.1678474</v>
      </c>
      <c r="H2111" t="n">
        <v>121.4458912</v>
      </c>
      <c r="I2111" t="n">
        <v>8</v>
      </c>
      <c r="J2111" t="n">
        <v>4</v>
      </c>
      <c r="K2111" t="n">
        <v>255.7</v>
      </c>
      <c r="L2111" t="inlineStr">
        <is>
          <t>Primary</t>
        </is>
      </c>
    </row>
    <row r="2112">
      <c r="A2112" t="n">
        <v>3</v>
      </c>
      <c r="B2112" s="34" t="inlineStr">
        <is>
          <t>S14</t>
        </is>
      </c>
      <c r="C2112" t="inlineStr">
        <is>
          <t>WG-B</t>
        </is>
      </c>
      <c r="D2112" t="n">
        <v>16</v>
      </c>
      <c r="E2112" t="inlineStr">
        <is>
          <t>F0249</t>
        </is>
      </c>
      <c r="F2112" t="inlineStr">
        <is>
          <t>新北市淡水區中正路235號</t>
        </is>
      </c>
      <c r="G2112" t="n">
        <v>25.1735188</v>
      </c>
      <c r="H2112" t="n">
        <v>121.4348054</v>
      </c>
      <c r="I2112" t="n">
        <v>8</v>
      </c>
      <c r="J2112" t="n">
        <v>3.1</v>
      </c>
      <c r="K2112" t="n">
        <v>266.8</v>
      </c>
      <c r="L2112" t="inlineStr">
        <is>
          <t>Primary</t>
        </is>
      </c>
    </row>
    <row r="2113">
      <c r="A2113" t="n">
        <v>3</v>
      </c>
      <c r="B2113" s="34" t="inlineStr">
        <is>
          <t>S14</t>
        </is>
      </c>
      <c r="C2113" t="inlineStr">
        <is>
          <t>WG-B</t>
        </is>
      </c>
      <c r="D2113" t="n">
        <v>17</v>
      </c>
      <c r="E2113" t="inlineStr">
        <is>
          <t>F0257</t>
        </is>
      </c>
      <c r="F2113" t="inlineStr">
        <is>
          <t>新北市淡水區濱海路一段&amp;濱海路111巷口</t>
        </is>
      </c>
      <c r="G2113" t="n">
        <v>25.1892667</v>
      </c>
      <c r="H2113" t="n">
        <v>121.4406026</v>
      </c>
      <c r="I2113" t="n">
        <v>8</v>
      </c>
      <c r="J2113" t="n">
        <v>4.4</v>
      </c>
      <c r="K2113" t="n">
        <v>279.2</v>
      </c>
      <c r="L2113" t="inlineStr">
        <is>
          <t>Primary</t>
        </is>
      </c>
    </row>
    <row r="2114">
      <c r="A2114" t="n">
        <v>3</v>
      </c>
      <c r="B2114" s="34" t="inlineStr">
        <is>
          <t>S14</t>
        </is>
      </c>
      <c r="C2114" t="inlineStr">
        <is>
          <t>WG-B</t>
        </is>
      </c>
      <c r="D2114" t="n">
        <v>18</v>
      </c>
      <c r="E2114" t="inlineStr">
        <is>
          <t>F0255</t>
        </is>
      </c>
      <c r="F2114" t="inlineStr">
        <is>
          <t>新北市淡水區新市二路四段230巷洗車場旁工地</t>
        </is>
      </c>
      <c r="G2114" t="n">
        <v>25.1911038</v>
      </c>
      <c r="H2114" t="n">
        <v>121.4457343</v>
      </c>
      <c r="I2114" t="n">
        <v>8</v>
      </c>
      <c r="J2114" t="n">
        <v>3</v>
      </c>
      <c r="K2114" t="n">
        <v>290.2</v>
      </c>
      <c r="L2114" t="inlineStr">
        <is>
          <t>Primary</t>
        </is>
      </c>
    </row>
    <row r="2115">
      <c r="A2115" t="n">
        <v>3</v>
      </c>
      <c r="B2115" s="34" t="inlineStr">
        <is>
          <t>S14</t>
        </is>
      </c>
      <c r="C2115" t="inlineStr">
        <is>
          <t>WG-B</t>
        </is>
      </c>
      <c r="D2115" t="n">
        <v>19</v>
      </c>
      <c r="E2115" t="inlineStr">
        <is>
          <t>F0254</t>
        </is>
      </c>
      <c r="F2115" t="inlineStr">
        <is>
          <t>新北市淡水區新市二路３段82號(202巷)</t>
        </is>
      </c>
      <c r="G2115" t="n">
        <v>25.1933663</v>
      </c>
      <c r="H2115" t="n">
        <v>121.434533</v>
      </c>
      <c r="I2115" t="n">
        <v>8</v>
      </c>
      <c r="J2115" t="n">
        <v>3</v>
      </c>
      <c r="K2115" t="n">
        <v>301.2</v>
      </c>
      <c r="L2115" t="inlineStr">
        <is>
          <t>Primary</t>
        </is>
      </c>
    </row>
    <row r="2116">
      <c r="A2116" t="n">
        <v>3</v>
      </c>
      <c r="B2116" s="34" t="inlineStr">
        <is>
          <t>S14</t>
        </is>
      </c>
      <c r="C2116" t="inlineStr">
        <is>
          <t>WG-B</t>
        </is>
      </c>
      <c r="D2116" t="n">
        <v>20</v>
      </c>
      <c r="E2116" t="inlineStr">
        <is>
          <t>F0252</t>
        </is>
      </c>
      <c r="F2116" t="inlineStr">
        <is>
          <t>新北市淡水區淡金路3段159號</t>
        </is>
      </c>
      <c r="G2116" t="n">
        <v>25.2024757</v>
      </c>
      <c r="H2116" t="n">
        <v>121.448243</v>
      </c>
      <c r="I2116" t="n">
        <v>8</v>
      </c>
      <c r="J2116" t="n">
        <v>4.1</v>
      </c>
      <c r="K2116" t="n">
        <v>313.3</v>
      </c>
      <c r="L2116" t="inlineStr">
        <is>
          <t>Primary</t>
        </is>
      </c>
    </row>
    <row r="2117">
      <c r="A2117" t="n">
        <v>3</v>
      </c>
      <c r="B2117" s="34" t="inlineStr">
        <is>
          <t>S14</t>
        </is>
      </c>
      <c r="C2117" t="inlineStr">
        <is>
          <t>WG-B</t>
        </is>
      </c>
      <c r="D2117" t="n">
        <v>21</v>
      </c>
      <c r="E2117" t="inlineStr">
        <is>
          <t>F0022</t>
        </is>
      </c>
      <c r="F2117" t="inlineStr">
        <is>
          <t>新北市三芝區大湖路&amp;淡金公路上</t>
        </is>
      </c>
      <c r="G2117" t="n">
        <v>25.2534627</v>
      </c>
      <c r="H2117" t="n">
        <v>121.4731932</v>
      </c>
      <c r="I2117" t="n">
        <v>24</v>
      </c>
      <c r="J2117" t="n">
        <v>14.9</v>
      </c>
      <c r="K2117" t="n">
        <v>352.2</v>
      </c>
      <c r="L2117" t="inlineStr">
        <is>
          <t>Primary</t>
        </is>
      </c>
    </row>
    <row r="2118">
      <c r="A2118" t="n">
        <v>3</v>
      </c>
      <c r="B2118" s="34" t="inlineStr">
        <is>
          <t>S14</t>
        </is>
      </c>
      <c r="C2118" t="inlineStr">
        <is>
          <t>WG-B</t>
        </is>
      </c>
      <c r="D2118" t="n">
        <v>22</v>
      </c>
      <c r="E2118" t="inlineStr">
        <is>
          <t>F0227</t>
        </is>
      </c>
      <c r="F2118" t="inlineStr">
        <is>
          <t>新北市金山區中華路168號對面</t>
        </is>
      </c>
      <c r="G2118" t="n">
        <v>25.222194</v>
      </c>
      <c r="H2118" t="n">
        <v>121.6328125</v>
      </c>
      <c r="I2118" t="n">
        <v>8</v>
      </c>
      <c r="J2118" t="n">
        <v>16.4</v>
      </c>
      <c r="K2118" t="n">
        <v>376.6</v>
      </c>
      <c r="L2118" t="inlineStr">
        <is>
          <t>Primary</t>
        </is>
      </c>
    </row>
    <row r="2119">
      <c r="A2119" t="n">
        <v>3</v>
      </c>
      <c r="B2119" s="34" t="inlineStr">
        <is>
          <t>S14</t>
        </is>
      </c>
      <c r="C2119" t="inlineStr">
        <is>
          <t>WG-C</t>
        </is>
      </c>
      <c r="D2119" t="n">
        <v>23</v>
      </c>
      <c r="E2119" t="inlineStr">
        <is>
          <t>C0021</t>
        </is>
      </c>
      <c r="F2119" t="inlineStr">
        <is>
          <t>基隆市安樂區基金一路&amp;武崙街口</t>
        </is>
      </c>
      <c r="G2119" t="n">
        <v>25.1418299</v>
      </c>
      <c r="H2119" t="n">
        <v>121.7071599</v>
      </c>
      <c r="I2119" t="n">
        <v>16</v>
      </c>
      <c r="J2119" t="n">
        <v>11.7</v>
      </c>
      <c r="K2119" t="n">
        <v>404.3</v>
      </c>
      <c r="L2119" t="inlineStr">
        <is>
          <t>Primary</t>
        </is>
      </c>
    </row>
    <row r="2120">
      <c r="A2120" t="n">
        <v>3</v>
      </c>
      <c r="B2120" s="34" t="inlineStr">
        <is>
          <t>S14</t>
        </is>
      </c>
      <c r="C2120" t="inlineStr">
        <is>
          <t>WG-C</t>
        </is>
      </c>
      <c r="D2120" t="n">
        <v>24</v>
      </c>
      <c r="E2120" t="inlineStr">
        <is>
          <t>C0017</t>
        </is>
      </c>
      <c r="F2120" t="inlineStr">
        <is>
          <t>基隆市安樂區(新山水庫)-自行定位附圖</t>
        </is>
      </c>
      <c r="G2120" t="n">
        <v>25.1334699</v>
      </c>
      <c r="H2120" t="n">
        <v>121.709076</v>
      </c>
      <c r="I2120" t="n">
        <v>8</v>
      </c>
      <c r="J2120" t="n">
        <v>3</v>
      </c>
      <c r="K2120" t="n">
        <v>415.3</v>
      </c>
      <c r="L2120" t="inlineStr">
        <is>
          <t>Primary</t>
        </is>
      </c>
    </row>
    <row r="2121">
      <c r="A2121" t="n">
        <v>3</v>
      </c>
      <c r="B2121" s="34" t="inlineStr">
        <is>
          <t>S14</t>
        </is>
      </c>
      <c r="C2121" t="inlineStr">
        <is>
          <t>WG-C</t>
        </is>
      </c>
      <c r="D2121" t="n">
        <v>25</v>
      </c>
      <c r="E2121" t="inlineStr">
        <is>
          <t>C0024</t>
        </is>
      </c>
      <c r="F2121" t="inlineStr">
        <is>
          <t>基隆市安樂區樂利三街38巷13-4號-國家新城福德宮</t>
        </is>
      </c>
      <c r="G2121" t="n">
        <v>25.1261691</v>
      </c>
      <c r="H2121" t="n">
        <v>121.7141574</v>
      </c>
      <c r="I2121" t="n">
        <v>8</v>
      </c>
      <c r="J2121" t="n">
        <v>3</v>
      </c>
      <c r="K2121" t="n">
        <v>426.3</v>
      </c>
      <c r="L2121" t="inlineStr">
        <is>
          <t>Primary</t>
        </is>
      </c>
    </row>
    <row r="2122">
      <c r="A2122" t="n">
        <v>3</v>
      </c>
      <c r="B2122" s="34" t="inlineStr">
        <is>
          <t>S14</t>
        </is>
      </c>
      <c r="C2122" t="inlineStr">
        <is>
          <t>WG-C</t>
        </is>
      </c>
      <c r="D2122" t="n">
        <v>26</v>
      </c>
      <c r="E2122" t="inlineStr">
        <is>
          <t>C0023</t>
        </is>
      </c>
      <c r="F2122" t="inlineStr">
        <is>
          <t>基隆市安樂區樂利三街150號</t>
        </is>
      </c>
      <c r="G2122" t="n">
        <v>25.1264628</v>
      </c>
      <c r="H2122" t="n">
        <v>121.7166756</v>
      </c>
      <c r="I2122" t="n">
        <v>8</v>
      </c>
      <c r="J2122" t="n">
        <v>3</v>
      </c>
      <c r="K2122" t="n">
        <v>437.3</v>
      </c>
      <c r="L2122" t="inlineStr">
        <is>
          <t>Primary</t>
        </is>
      </c>
    </row>
    <row r="2123">
      <c r="A2123" t="n">
        <v>3</v>
      </c>
      <c r="B2123" s="34" t="inlineStr">
        <is>
          <t>S14</t>
        </is>
      </c>
      <c r="C2123" t="inlineStr">
        <is>
          <t>WG-C</t>
        </is>
      </c>
      <c r="D2123" t="n">
        <v>27</v>
      </c>
      <c r="E2123" t="inlineStr">
        <is>
          <t>C0019</t>
        </is>
      </c>
      <c r="F2123" t="inlineStr">
        <is>
          <t>基隆市安樂區安和二街28號旁工地</t>
        </is>
      </c>
      <c r="G2123" t="n">
        <v>25.1302176</v>
      </c>
      <c r="H2123" t="n">
        <v>121.7210905</v>
      </c>
      <c r="I2123" t="n">
        <v>8</v>
      </c>
      <c r="J2123" t="n">
        <v>3</v>
      </c>
      <c r="K2123" t="n">
        <v>448.3</v>
      </c>
      <c r="L2123" t="inlineStr">
        <is>
          <t>Primary</t>
        </is>
      </c>
    </row>
    <row r="2124">
      <c r="A2124" t="n">
        <v>3</v>
      </c>
      <c r="B2124" s="34" t="inlineStr">
        <is>
          <t>S14</t>
        </is>
      </c>
      <c r="C2124" t="inlineStr">
        <is>
          <t>WG-C</t>
        </is>
      </c>
      <c r="D2124" t="n">
        <v>28</v>
      </c>
      <c r="E2124" t="inlineStr">
        <is>
          <t>C0018</t>
        </is>
      </c>
      <c r="F2124" t="inlineStr">
        <is>
          <t>基隆市安樂區安一路360號-安樂高中</t>
        </is>
      </c>
      <c r="G2124" t="n">
        <v>25.1351392</v>
      </c>
      <c r="H2124" t="n">
        <v>121.7299807</v>
      </c>
      <c r="I2124" t="n">
        <v>16</v>
      </c>
      <c r="J2124" t="n">
        <v>3</v>
      </c>
      <c r="K2124" t="n">
        <v>467.3</v>
      </c>
      <c r="L2124" t="inlineStr">
        <is>
          <t>Primary</t>
        </is>
      </c>
    </row>
    <row r="2125">
      <c r="A2125" t="n">
        <v>3</v>
      </c>
      <c r="B2125" s="34" t="inlineStr">
        <is>
          <t>S14</t>
        </is>
      </c>
      <c r="C2125" t="inlineStr">
        <is>
          <t>WG-C</t>
        </is>
      </c>
      <c r="D2125" t="n">
        <v>29</v>
      </c>
      <c r="E2125" t="inlineStr">
        <is>
          <t>C0005</t>
        </is>
      </c>
      <c r="F2125" t="inlineStr">
        <is>
          <t>基隆市中山區中山一路263號旁</t>
        </is>
      </c>
      <c r="G2125" t="n">
        <v>25.1355657</v>
      </c>
      <c r="H2125" t="n">
        <v>121.7402704</v>
      </c>
      <c r="I2125" t="n">
        <v>8</v>
      </c>
      <c r="J2125" t="n">
        <v>3</v>
      </c>
      <c r="K2125" t="n">
        <v>478.3</v>
      </c>
      <c r="L2125" t="inlineStr">
        <is>
          <t>Primary</t>
        </is>
      </c>
    </row>
    <row r="2126">
      <c r="A2126" t="n">
        <v>3</v>
      </c>
      <c r="B2126" s="34" t="inlineStr">
        <is>
          <t>S14</t>
        </is>
      </c>
      <c r="C2126" t="inlineStr">
        <is>
          <t>WG-C</t>
        </is>
      </c>
      <c r="D2126" t="n">
        <v>30</v>
      </c>
      <c r="E2126" t="inlineStr">
        <is>
          <t>C0011</t>
        </is>
      </c>
      <c r="F2126" t="inlineStr">
        <is>
          <t>基隆市中正區中正路5-1號-長榮桂冠酒店斜對面壹山營造工區</t>
        </is>
      </c>
      <c r="G2126" t="n">
        <v>25.1357217</v>
      </c>
      <c r="H2126" t="n">
        <v>121.7459994</v>
      </c>
      <c r="I2126" t="n">
        <v>16</v>
      </c>
      <c r="J2126" t="n">
        <v>3</v>
      </c>
      <c r="K2126" t="n">
        <v>497.3</v>
      </c>
      <c r="L2126" t="inlineStr">
        <is>
          <t>Primary</t>
        </is>
      </c>
    </row>
    <row r="2127">
      <c r="A2127" t="n">
        <v>3</v>
      </c>
      <c r="B2127" s="34" t="inlineStr">
        <is>
          <t>S14</t>
        </is>
      </c>
      <c r="C2127" t="inlineStr">
        <is>
          <t>WG-C</t>
        </is>
      </c>
      <c r="D2127" t="n">
        <v>31</v>
      </c>
      <c r="E2127" t="inlineStr">
        <is>
          <t>C0013</t>
        </is>
      </c>
      <c r="F2127" t="inlineStr">
        <is>
          <t>基隆市中正區義二路99號旁的工地</t>
        </is>
      </c>
      <c r="G2127" t="n">
        <v>25.1328478</v>
      </c>
      <c r="H2127" t="n">
        <v>121.7464595</v>
      </c>
      <c r="I2127" t="n">
        <v>8</v>
      </c>
      <c r="J2127" t="n">
        <v>3</v>
      </c>
      <c r="K2127" t="n">
        <v>508.3</v>
      </c>
      <c r="L2127" t="inlineStr">
        <is>
          <t>Primary</t>
        </is>
      </c>
    </row>
    <row r="2128">
      <c r="A2128" t="n">
        <v>4</v>
      </c>
      <c r="B2128" s="34" t="inlineStr">
        <is>
          <t>S14</t>
        </is>
      </c>
      <c r="C2128" t="inlineStr">
        <is>
          <t>WG-C</t>
        </is>
      </c>
      <c r="D2128" t="n">
        <v>1</v>
      </c>
      <c r="E2128" t="inlineStr">
        <is>
          <t>F0142</t>
        </is>
      </c>
      <c r="F2128" t="inlineStr">
        <is>
          <t>新北市汐止區福德二路360號</t>
        </is>
      </c>
      <c r="G2128" t="n">
        <v>25.0642901</v>
      </c>
      <c r="H2128" t="n">
        <v>121.624515</v>
      </c>
      <c r="I2128" t="n">
        <v>16</v>
      </c>
      <c r="J2128" t="n">
        <v>18.5</v>
      </c>
      <c r="K2128" t="n">
        <v>34.5</v>
      </c>
      <c r="L2128" t="inlineStr">
        <is>
          <t>Primary</t>
        </is>
      </c>
    </row>
    <row r="2129">
      <c r="A2129" t="n">
        <v>4</v>
      </c>
      <c r="B2129" s="34" t="inlineStr">
        <is>
          <t>S14</t>
        </is>
      </c>
      <c r="C2129" t="inlineStr">
        <is>
          <t>WG-C</t>
        </is>
      </c>
      <c r="D2129" t="n">
        <v>2</v>
      </c>
      <c r="E2129" t="inlineStr">
        <is>
          <t>F0141</t>
        </is>
      </c>
      <c r="F2129" t="inlineStr">
        <is>
          <t>新北市汐止區福德一路&amp;福德二路交叉口</t>
        </is>
      </c>
      <c r="G2129" t="n">
        <v>25.0638221</v>
      </c>
      <c r="H2129" t="n">
        <v>121.6259777</v>
      </c>
      <c r="I2129" t="n">
        <v>16</v>
      </c>
      <c r="J2129" t="n">
        <v>3</v>
      </c>
      <c r="K2129" t="n">
        <v>53.5</v>
      </c>
      <c r="L2129" t="inlineStr">
        <is>
          <t>Primary</t>
        </is>
      </c>
    </row>
    <row r="2130">
      <c r="A2130" t="n">
        <v>4</v>
      </c>
      <c r="B2130" s="34" t="inlineStr">
        <is>
          <t>S14</t>
        </is>
      </c>
      <c r="C2130" t="inlineStr">
        <is>
          <t>WG-C</t>
        </is>
      </c>
      <c r="D2130" t="n">
        <v>3</v>
      </c>
      <c r="E2130" t="inlineStr">
        <is>
          <t>F0143</t>
        </is>
      </c>
      <c r="F2130" t="inlineStr">
        <is>
          <t>新北市汐止區樟樹一路(高速橋下網球場)</t>
        </is>
      </c>
      <c r="G2130" t="n">
        <v>25.0615996</v>
      </c>
      <c r="H2130" t="n">
        <v>121.6419762</v>
      </c>
      <c r="I2130" t="n">
        <v>16</v>
      </c>
      <c r="J2130" t="n">
        <v>3.9</v>
      </c>
      <c r="K2130" t="n">
        <v>73.40000000000001</v>
      </c>
      <c r="L2130" t="inlineStr">
        <is>
          <t>Primary</t>
        </is>
      </c>
    </row>
    <row r="2131">
      <c r="A2131" t="n">
        <v>4</v>
      </c>
      <c r="B2131" s="34" t="inlineStr">
        <is>
          <t>S14</t>
        </is>
      </c>
      <c r="C2131" t="inlineStr">
        <is>
          <t>WG-C</t>
        </is>
      </c>
      <c r="D2131" t="n">
        <v>4</v>
      </c>
      <c r="E2131" t="inlineStr">
        <is>
          <t>F0128</t>
        </is>
      </c>
      <c r="F2131" t="inlineStr">
        <is>
          <t>新北市汐止區大同路一段515巷保全貨櫃旁</t>
        </is>
      </c>
      <c r="G2131" t="n">
        <v>25.0637504</v>
      </c>
      <c r="H2131" t="n">
        <v>121.6436322</v>
      </c>
      <c r="I2131" t="n">
        <v>8</v>
      </c>
      <c r="J2131" t="n">
        <v>3</v>
      </c>
      <c r="K2131" t="n">
        <v>84.40000000000001</v>
      </c>
      <c r="L2131" t="inlineStr">
        <is>
          <t>Primary</t>
        </is>
      </c>
    </row>
    <row r="2132">
      <c r="A2132" t="n">
        <v>4</v>
      </c>
      <c r="B2132" s="34" t="inlineStr">
        <is>
          <t>S14</t>
        </is>
      </c>
      <c r="C2132" t="inlineStr">
        <is>
          <t>WG-C</t>
        </is>
      </c>
      <c r="D2132" t="n">
        <v>5</v>
      </c>
      <c r="E2132" t="inlineStr">
        <is>
          <t>F0144</t>
        </is>
      </c>
      <c r="F2132" t="inlineStr">
        <is>
          <t>新北市汐止區樟樹二路344號(原住民運動公園)</t>
        </is>
      </c>
      <c r="G2132" t="n">
        <v>25.0710932</v>
      </c>
      <c r="H2132" t="n">
        <v>121.6416271</v>
      </c>
      <c r="I2132" t="n">
        <v>16</v>
      </c>
      <c r="J2132" t="n">
        <v>3</v>
      </c>
      <c r="K2132" t="n">
        <v>103.4</v>
      </c>
      <c r="L2132" t="inlineStr">
        <is>
          <t>Primary</t>
        </is>
      </c>
    </row>
    <row r="2133">
      <c r="A2133" t="n">
        <v>4</v>
      </c>
      <c r="B2133" s="34" t="inlineStr">
        <is>
          <t>S14</t>
        </is>
      </c>
      <c r="C2133" t="inlineStr">
        <is>
          <t>WG-C</t>
        </is>
      </c>
      <c r="D2133" t="n">
        <v>6</v>
      </c>
      <c r="E2133" t="inlineStr">
        <is>
          <t>F0130</t>
        </is>
      </c>
      <c r="F2133" t="inlineStr">
        <is>
          <t>新北市汐止區中正路206號-中正公有零售市場</t>
        </is>
      </c>
      <c r="G2133" t="n">
        <v>25.0690593</v>
      </c>
      <c r="H2133" t="n">
        <v>121.6584716</v>
      </c>
      <c r="I2133" t="n">
        <v>8</v>
      </c>
      <c r="J2133" t="n">
        <v>4.1</v>
      </c>
      <c r="K2133" t="n">
        <v>115.5</v>
      </c>
      <c r="L2133" t="inlineStr">
        <is>
          <t>Primary</t>
        </is>
      </c>
    </row>
    <row r="2134">
      <c r="A2134" t="n">
        <v>4</v>
      </c>
      <c r="B2134" s="34" t="inlineStr">
        <is>
          <t>S14</t>
        </is>
      </c>
      <c r="C2134" t="inlineStr">
        <is>
          <t>WG-C</t>
        </is>
      </c>
      <c r="D2134" t="n">
        <v>7</v>
      </c>
      <c r="E2134" t="inlineStr">
        <is>
          <t>F0129</t>
        </is>
      </c>
      <c r="F2134" t="inlineStr">
        <is>
          <t>新北市汐止區中正路132巷5號-入口</t>
        </is>
      </c>
      <c r="G2134" t="n">
        <v>25.069869</v>
      </c>
      <c r="H2134" t="n">
        <v>121.660004</v>
      </c>
      <c r="I2134" t="n">
        <v>8</v>
      </c>
      <c r="J2134" t="n">
        <v>3</v>
      </c>
      <c r="K2134" t="n">
        <v>126.5</v>
      </c>
      <c r="L2134" t="inlineStr">
        <is>
          <t>Primary</t>
        </is>
      </c>
    </row>
    <row r="2135">
      <c r="A2135" t="n">
        <v>4</v>
      </c>
      <c r="B2135" s="34" t="inlineStr">
        <is>
          <t>S14</t>
        </is>
      </c>
      <c r="C2135" t="inlineStr">
        <is>
          <t>WG-C</t>
        </is>
      </c>
      <c r="D2135" t="n">
        <v>8</v>
      </c>
      <c r="E2135" t="inlineStr">
        <is>
          <t>F0132</t>
        </is>
      </c>
      <c r="F2135" t="inlineStr">
        <is>
          <t>新北市汐止區和平街21號旁工地(14樓高)</t>
        </is>
      </c>
      <c r="G2135" t="n">
        <v>25.0706697</v>
      </c>
      <c r="H2135" t="n">
        <v>121.6628431</v>
      </c>
      <c r="I2135" t="n">
        <v>16</v>
      </c>
      <c r="J2135" t="n">
        <v>3</v>
      </c>
      <c r="K2135" t="n">
        <v>145.5</v>
      </c>
      <c r="L2135" t="inlineStr">
        <is>
          <t>Primary</t>
        </is>
      </c>
    </row>
    <row r="2136">
      <c r="A2136" t="n">
        <v>4</v>
      </c>
      <c r="B2136" s="34" t="inlineStr">
        <is>
          <t>S14</t>
        </is>
      </c>
      <c r="C2136" t="inlineStr">
        <is>
          <t>WG-C</t>
        </is>
      </c>
      <c r="D2136" t="n">
        <v>9</v>
      </c>
      <c r="E2136" t="inlineStr">
        <is>
          <t>F0136</t>
        </is>
      </c>
      <c r="F2136" t="inlineStr">
        <is>
          <t>新北市汐止區保長路430號旁工地</t>
        </is>
      </c>
      <c r="G2136" t="n">
        <v>25.0714104</v>
      </c>
      <c r="H2136" t="n">
        <v>121.6853325</v>
      </c>
      <c r="I2136" t="n">
        <v>16</v>
      </c>
      <c r="J2136" t="n">
        <v>5.4</v>
      </c>
      <c r="K2136" t="n">
        <v>166.9</v>
      </c>
      <c r="L2136" t="inlineStr">
        <is>
          <t>Primary</t>
        </is>
      </c>
    </row>
    <row r="2137">
      <c r="A2137" t="n">
        <v>4</v>
      </c>
      <c r="B2137" s="34" t="inlineStr">
        <is>
          <t>S14</t>
        </is>
      </c>
      <c r="C2137" t="inlineStr">
        <is>
          <t>WG-C</t>
        </is>
      </c>
      <c r="D2137" t="n">
        <v>10</v>
      </c>
      <c r="E2137" t="inlineStr">
        <is>
          <t>C0001</t>
        </is>
      </c>
      <c r="F2137" t="inlineStr">
        <is>
          <t>基隆市七堵區六堵工業區工東街10號</t>
        </is>
      </c>
      <c r="G2137" t="n">
        <v>25.0873342</v>
      </c>
      <c r="H2137" t="n">
        <v>121.7048832</v>
      </c>
      <c r="I2137" t="n">
        <v>8</v>
      </c>
      <c r="J2137" t="n">
        <v>6.4</v>
      </c>
      <c r="K2137" t="n">
        <v>181.3</v>
      </c>
      <c r="L2137" t="inlineStr">
        <is>
          <t>Primary</t>
        </is>
      </c>
    </row>
    <row r="2138">
      <c r="A2138" t="n">
        <v>4</v>
      </c>
      <c r="B2138" s="34" t="inlineStr">
        <is>
          <t>S14</t>
        </is>
      </c>
      <c r="C2138" t="inlineStr">
        <is>
          <t>WG-C</t>
        </is>
      </c>
      <c r="D2138" t="n">
        <v>11</v>
      </c>
      <c r="E2138" t="inlineStr">
        <is>
          <t>C0002</t>
        </is>
      </c>
      <c r="F2138" t="inlineStr">
        <is>
          <t>基隆市七堵區俊賢路28號旁</t>
        </is>
      </c>
      <c r="G2138" t="n">
        <v>25.0953287</v>
      </c>
      <c r="H2138" t="n">
        <v>121.7051717</v>
      </c>
      <c r="I2138" t="n">
        <v>8</v>
      </c>
      <c r="J2138" t="n">
        <v>3</v>
      </c>
      <c r="K2138" t="n">
        <v>192.3</v>
      </c>
      <c r="L2138" t="inlineStr">
        <is>
          <t>Primary</t>
        </is>
      </c>
    </row>
    <row r="2139">
      <c r="A2139" t="n">
        <v>4</v>
      </c>
      <c r="B2139" s="34" t="inlineStr">
        <is>
          <t>S14</t>
        </is>
      </c>
      <c r="C2139" t="inlineStr">
        <is>
          <t>WG-C</t>
        </is>
      </c>
      <c r="D2139" t="n">
        <v>12</v>
      </c>
      <c r="E2139" t="inlineStr">
        <is>
          <t>C0015</t>
        </is>
      </c>
      <c r="F2139" t="inlineStr">
        <is>
          <t>基隆市仁愛區精一路32號旁</t>
        </is>
      </c>
      <c r="G2139" t="n">
        <v>25.1262827</v>
      </c>
      <c r="H2139" t="n">
        <v>121.7411385</v>
      </c>
      <c r="I2139" t="n">
        <v>8</v>
      </c>
      <c r="J2139" t="n">
        <v>12</v>
      </c>
      <c r="K2139" t="n">
        <v>212.3</v>
      </c>
      <c r="L2139" t="inlineStr">
        <is>
          <t>Primary</t>
        </is>
      </c>
    </row>
    <row r="2140">
      <c r="A2140" t="n">
        <v>4</v>
      </c>
      <c r="B2140" s="34" t="inlineStr">
        <is>
          <t>S14</t>
        </is>
      </c>
      <c r="C2140" t="inlineStr">
        <is>
          <t>WG-C</t>
        </is>
      </c>
      <c r="D2140" t="n">
        <v>13</v>
      </c>
      <c r="E2140" t="inlineStr">
        <is>
          <t>C0014</t>
        </is>
      </c>
      <c r="F2140" t="inlineStr">
        <is>
          <t>基隆市仁愛區仁二路236號(東岸商場&amp;文化廣場間)</t>
        </is>
      </c>
      <c r="G2140" t="n">
        <v>25.130169</v>
      </c>
      <c r="H2140" t="n">
        <v>121.7431842</v>
      </c>
      <c r="I2140" t="n">
        <v>24</v>
      </c>
      <c r="J2140" t="n">
        <v>3</v>
      </c>
      <c r="K2140" t="n">
        <v>239.3</v>
      </c>
      <c r="L2140" t="inlineStr">
        <is>
          <t>Primary</t>
        </is>
      </c>
    </row>
    <row r="2141">
      <c r="A2141" t="n">
        <v>4</v>
      </c>
      <c r="B2141" s="34" t="inlineStr">
        <is>
          <t>S14</t>
        </is>
      </c>
      <c r="C2141" t="inlineStr">
        <is>
          <t>WG-C</t>
        </is>
      </c>
      <c r="D2141" t="n">
        <v>14</v>
      </c>
      <c r="E2141" t="inlineStr">
        <is>
          <t>C0006</t>
        </is>
      </c>
      <c r="F2141" t="inlineStr">
        <is>
          <t>基隆市中山區中山四路28號 25°09'02.2"N 121°44'43.0"E</t>
        </is>
      </c>
      <c r="G2141" t="n">
        <v>25.1436722</v>
      </c>
      <c r="H2141" t="n">
        <v>121.749683</v>
      </c>
      <c r="I2141" t="n">
        <v>8</v>
      </c>
      <c r="J2141" t="n">
        <v>3.9</v>
      </c>
      <c r="K2141" t="n">
        <v>251.2</v>
      </c>
      <c r="L2141" t="inlineStr">
        <is>
          <t>Primary</t>
        </is>
      </c>
    </row>
    <row r="2142">
      <c r="A2142" t="n">
        <v>4</v>
      </c>
      <c r="B2142" s="34" t="inlineStr">
        <is>
          <t>S14</t>
        </is>
      </c>
      <c r="C2142" t="inlineStr">
        <is>
          <t>WG-C</t>
        </is>
      </c>
      <c r="D2142" t="n">
        <v>15</v>
      </c>
      <c r="E2142" t="inlineStr">
        <is>
          <t>C0009</t>
        </is>
      </c>
      <c r="F2142" t="inlineStr">
        <is>
          <t>基隆市中山區光華路29號 嘉新水泥廠附近  25°09'21.8"N 121°44'54.3"E</t>
        </is>
      </c>
      <c r="G2142" t="n">
        <v>25.1528739</v>
      </c>
      <c r="H2142" t="n">
        <v>121.7449074</v>
      </c>
      <c r="I2142" t="n">
        <v>16</v>
      </c>
      <c r="J2142" t="n">
        <v>3</v>
      </c>
      <c r="K2142" t="n">
        <v>270.2</v>
      </c>
      <c r="L2142" t="inlineStr">
        <is>
          <t>Primary</t>
        </is>
      </c>
    </row>
    <row r="2143">
      <c r="A2143" t="n">
        <v>4</v>
      </c>
      <c r="B2143" s="34" t="inlineStr">
        <is>
          <t>S14</t>
        </is>
      </c>
      <c r="C2143" t="inlineStr">
        <is>
          <t>WG-C</t>
        </is>
      </c>
      <c r="D2143" t="n">
        <v>16</v>
      </c>
      <c r="E2143" t="inlineStr">
        <is>
          <t>C0007</t>
        </is>
      </c>
      <c r="F2143" t="inlineStr">
        <is>
          <t>基隆市中山區太白里光華塔附近 25°09'16.8"N 121°45'06.8"E</t>
        </is>
      </c>
      <c r="G2143" t="n">
        <v>25.1551636</v>
      </c>
      <c r="H2143" t="n">
        <v>121.7526931</v>
      </c>
      <c r="I2143" t="n">
        <v>8</v>
      </c>
      <c r="J2143" t="n">
        <v>3</v>
      </c>
      <c r="K2143" t="n">
        <v>281.2</v>
      </c>
      <c r="L2143" t="inlineStr">
        <is>
          <t>Primary</t>
        </is>
      </c>
    </row>
    <row r="2144">
      <c r="A2144" t="n">
        <v>4</v>
      </c>
      <c r="B2144" s="34" t="inlineStr">
        <is>
          <t>S14</t>
        </is>
      </c>
      <c r="C2144" t="inlineStr">
        <is>
          <t>WG-C</t>
        </is>
      </c>
      <c r="D2144" t="n">
        <v>17</v>
      </c>
      <c r="E2144" t="inlineStr">
        <is>
          <t>F0306</t>
        </is>
      </c>
      <c r="F2144" t="inlineStr">
        <is>
          <t>新北市瑞芳區中山路309號旁</t>
        </is>
      </c>
      <c r="G2144" t="n">
        <v>25.1091883</v>
      </c>
      <c r="H2144" t="n">
        <v>121.7941928</v>
      </c>
      <c r="I2144" t="n">
        <v>8</v>
      </c>
      <c r="J2144" t="n">
        <v>15.8</v>
      </c>
      <c r="K2144" t="n">
        <v>305</v>
      </c>
      <c r="L2144" t="inlineStr">
        <is>
          <t>Primary</t>
        </is>
      </c>
    </row>
    <row r="2145">
      <c r="A2145" t="n">
        <v>4</v>
      </c>
      <c r="B2145" s="34" t="inlineStr">
        <is>
          <t>S14</t>
        </is>
      </c>
      <c r="C2145" t="inlineStr">
        <is>
          <t>WG-C</t>
        </is>
      </c>
      <c r="D2145" t="n">
        <v>18</v>
      </c>
      <c r="E2145" t="inlineStr">
        <is>
          <t>F0304</t>
        </is>
      </c>
      <c r="F2145" t="inlineStr">
        <is>
          <t>新北市瑞芳區三爪子坑路149巷29號</t>
        </is>
      </c>
      <c r="G2145" t="n">
        <v>25.1067887</v>
      </c>
      <c r="H2145" t="n">
        <v>121.8118792</v>
      </c>
      <c r="I2145" t="n">
        <v>8</v>
      </c>
      <c r="J2145" t="n">
        <v>4.3</v>
      </c>
      <c r="K2145" t="n">
        <v>317.4</v>
      </c>
      <c r="L2145" t="inlineStr">
        <is>
          <t>Primary</t>
        </is>
      </c>
    </row>
    <row r="2146">
      <c r="A2146" t="n">
        <v>4</v>
      </c>
      <c r="B2146" s="34" t="inlineStr">
        <is>
          <t>S14</t>
        </is>
      </c>
      <c r="C2146" t="inlineStr">
        <is>
          <t>WG-C</t>
        </is>
      </c>
      <c r="D2146" t="n">
        <v>19</v>
      </c>
      <c r="E2146" t="inlineStr">
        <is>
          <t>F0307</t>
        </is>
      </c>
      <c r="F2146" t="inlineStr">
        <is>
          <t>新北市瑞芳區柴寮路36-2號</t>
        </is>
      </c>
      <c r="G2146" t="n">
        <v>25.0866547</v>
      </c>
      <c r="H2146" t="n">
        <v>121.8275375</v>
      </c>
      <c r="I2146" t="n">
        <v>16</v>
      </c>
      <c r="J2146" t="n">
        <v>6.6</v>
      </c>
      <c r="K2146" t="n">
        <v>339.9</v>
      </c>
      <c r="L2146" t="inlineStr">
        <is>
          <t>Primary</t>
        </is>
      </c>
    </row>
    <row r="2147">
      <c r="A2147" t="n">
        <v>4</v>
      </c>
      <c r="B2147" s="34" t="inlineStr">
        <is>
          <t>S14</t>
        </is>
      </c>
      <c r="C2147" t="inlineStr">
        <is>
          <t>PZ-D</t>
        </is>
      </c>
      <c r="D2147" t="n">
        <v>20</v>
      </c>
      <c r="E2147" t="inlineStr">
        <is>
          <t>A0120</t>
        </is>
      </c>
      <c r="F2147" t="inlineStr">
        <is>
          <t>臺北市內湖區東湖路119巷50弄5號</t>
        </is>
      </c>
      <c r="G2147" t="n">
        <v>25.069703</v>
      </c>
      <c r="H2147" t="n">
        <v>121.617384</v>
      </c>
      <c r="I2147" t="n">
        <v>8</v>
      </c>
      <c r="J2147" t="n">
        <v>21.2</v>
      </c>
      <c r="K2147" t="n">
        <v>369.2</v>
      </c>
      <c r="L2147" s="21" t="inlineStr">
        <is>
          <t>Support</t>
        </is>
      </c>
    </row>
    <row r="2148">
      <c r="A2148" t="n">
        <v>4</v>
      </c>
      <c r="B2148" s="34" t="inlineStr">
        <is>
          <t>S14</t>
        </is>
      </c>
      <c r="C2148" t="inlineStr">
        <is>
          <t>PZ-D</t>
        </is>
      </c>
      <c r="D2148" t="n">
        <v>21</v>
      </c>
      <c r="E2148" t="inlineStr">
        <is>
          <t>A0206</t>
        </is>
      </c>
      <c r="F2148" t="inlineStr">
        <is>
          <t>臺北市南港區經貿二路105巷口(南港展覽館1館旁)</t>
        </is>
      </c>
      <c r="G2148" t="n">
        <v>25.058075</v>
      </c>
      <c r="H2148" t="n">
        <v>121.617986</v>
      </c>
      <c r="I2148" t="n">
        <v>8</v>
      </c>
      <c r="J2148" t="n">
        <v>3.1</v>
      </c>
      <c r="K2148" t="n">
        <v>380.3</v>
      </c>
      <c r="L2148" s="21" t="inlineStr">
        <is>
          <t>Support</t>
        </is>
      </c>
    </row>
    <row r="2149">
      <c r="A2149" t="n">
        <v>4</v>
      </c>
      <c r="B2149" s="34" t="inlineStr">
        <is>
          <t>S14</t>
        </is>
      </c>
      <c r="C2149" t="inlineStr">
        <is>
          <t>PZ-D</t>
        </is>
      </c>
      <c r="D2149" t="n">
        <v>22</v>
      </c>
      <c r="E2149" t="inlineStr">
        <is>
          <t>A0130</t>
        </is>
      </c>
      <c r="F2149" t="inlineStr">
        <is>
          <t>臺北市內湖區潭美街577號對面(吊車)</t>
        </is>
      </c>
      <c r="G2149" t="n">
        <v>25.060972</v>
      </c>
      <c r="H2149" t="n">
        <v>121.601544</v>
      </c>
      <c r="I2149" t="n">
        <v>8</v>
      </c>
      <c r="J2149" t="n">
        <v>4</v>
      </c>
      <c r="K2149" t="n">
        <v>392.3</v>
      </c>
      <c r="L2149" s="21" t="inlineStr">
        <is>
          <t>Support</t>
        </is>
      </c>
    </row>
    <row r="2150">
      <c r="A2150" t="n">
        <v>4</v>
      </c>
      <c r="B2150" s="34" t="inlineStr">
        <is>
          <t>S14</t>
        </is>
      </c>
      <c r="C2150" t="inlineStr">
        <is>
          <t>PZ-D</t>
        </is>
      </c>
      <c r="D2150" t="n">
        <v>23</v>
      </c>
      <c r="E2150" t="inlineStr">
        <is>
          <t>A0112</t>
        </is>
      </c>
      <c r="F2150" t="inlineStr">
        <is>
          <t>臺北市內湖區安康路46號</t>
        </is>
      </c>
      <c r="G2150" t="n">
        <v>25.062247</v>
      </c>
      <c r="H2150" t="n">
        <v>121.596172</v>
      </c>
      <c r="I2150" t="n">
        <v>24</v>
      </c>
      <c r="J2150" t="n">
        <v>3</v>
      </c>
      <c r="K2150" t="n">
        <v>419.3</v>
      </c>
      <c r="L2150" s="21" t="inlineStr">
        <is>
          <t>Support</t>
        </is>
      </c>
    </row>
    <row r="2151">
      <c r="A2151" t="n">
        <v>4</v>
      </c>
      <c r="B2151" s="34" t="inlineStr">
        <is>
          <t>S14</t>
        </is>
      </c>
      <c r="C2151" t="inlineStr">
        <is>
          <t>PZ-D</t>
        </is>
      </c>
      <c r="D2151" t="n">
        <v>24</v>
      </c>
      <c r="E2151" t="inlineStr">
        <is>
          <t>A0205</t>
        </is>
      </c>
      <c r="F2151" t="inlineStr">
        <is>
          <t>臺北市南港區重陽路39巷100號旁工地</t>
        </is>
      </c>
      <c r="G2151" t="n">
        <v>25.057856</v>
      </c>
      <c r="H2151" t="n">
        <v>121.594169</v>
      </c>
      <c r="I2151" t="n">
        <v>16</v>
      </c>
      <c r="J2151" t="n">
        <v>3</v>
      </c>
      <c r="K2151" t="n">
        <v>438.3</v>
      </c>
      <c r="L2151" s="21" t="inlineStr">
        <is>
          <t>Support</t>
        </is>
      </c>
    </row>
    <row r="2152">
      <c r="A2152" t="n">
        <v>4</v>
      </c>
      <c r="B2152" s="34" t="inlineStr">
        <is>
          <t>S14</t>
        </is>
      </c>
      <c r="C2152" t="inlineStr">
        <is>
          <t>PZ-D</t>
        </is>
      </c>
      <c r="D2152" t="n">
        <v>25</v>
      </c>
      <c r="E2152" t="inlineStr">
        <is>
          <t>A0204</t>
        </is>
      </c>
      <c r="F2152" t="inlineStr">
        <is>
          <t>臺北市南港區南港路３段33號</t>
        </is>
      </c>
      <c r="G2152" t="n">
        <v>25.052456</v>
      </c>
      <c r="H2152" t="n">
        <v>121.592208</v>
      </c>
      <c r="I2152" t="n">
        <v>24</v>
      </c>
      <c r="J2152" t="n">
        <v>3</v>
      </c>
      <c r="K2152" t="n">
        <v>465.3</v>
      </c>
      <c r="L2152" s="21" t="inlineStr">
        <is>
          <t>Support</t>
        </is>
      </c>
    </row>
    <row r="2153">
      <c r="A2153" t="n">
        <v>4</v>
      </c>
      <c r="B2153" s="34" t="inlineStr">
        <is>
          <t>S14</t>
        </is>
      </c>
      <c r="C2153" t="inlineStr">
        <is>
          <t>PZ-D</t>
        </is>
      </c>
      <c r="D2153" t="n">
        <v>26</v>
      </c>
      <c r="E2153" t="inlineStr">
        <is>
          <t>A0201</t>
        </is>
      </c>
      <c r="F2153" t="inlineStr">
        <is>
          <t>臺北市南港區昆陽街161號旁工地</t>
        </is>
      </c>
      <c r="G2153" t="n">
        <v>25.0491365</v>
      </c>
      <c r="H2153" t="n">
        <v>121.5943897</v>
      </c>
      <c r="I2153" t="n">
        <v>16</v>
      </c>
      <c r="J2153" t="n">
        <v>3</v>
      </c>
      <c r="K2153" t="n">
        <v>484.3</v>
      </c>
      <c r="L2153" s="21" t="inlineStr">
        <is>
          <t>Support</t>
        </is>
      </c>
    </row>
    <row r="2154">
      <c r="A2154" t="n">
        <v>4</v>
      </c>
      <c r="B2154" s="34" t="inlineStr">
        <is>
          <t>S14</t>
        </is>
      </c>
      <c r="C2154" t="inlineStr">
        <is>
          <t>PZ-D</t>
        </is>
      </c>
      <c r="D2154" t="n">
        <v>27</v>
      </c>
      <c r="E2154" t="inlineStr">
        <is>
          <t>A0111</t>
        </is>
      </c>
      <c r="F2154" t="inlineStr">
        <is>
          <t>臺北市內湖區石潭路及金莊路口旁工地</t>
        </is>
      </c>
      <c r="G2154" t="n">
        <v>25.063528</v>
      </c>
      <c r="H2154" t="n">
        <v>121.58828</v>
      </c>
      <c r="I2154" t="n">
        <v>16</v>
      </c>
      <c r="J2154" t="n">
        <v>4.1</v>
      </c>
      <c r="K2154" t="n">
        <v>504.5</v>
      </c>
      <c r="L2154" s="21" t="inlineStr">
        <is>
          <t>Support</t>
        </is>
      </c>
    </row>
    <row r="2155">
      <c r="A2155" t="n">
        <v>4</v>
      </c>
      <c r="B2155" s="34" t="inlineStr">
        <is>
          <t>S14</t>
        </is>
      </c>
      <c r="C2155" t="inlineStr">
        <is>
          <t>PZ-D</t>
        </is>
      </c>
      <c r="D2155" t="n">
        <v>28</v>
      </c>
      <c r="E2155" t="inlineStr">
        <is>
          <t>A0127</t>
        </is>
      </c>
      <c r="F2155" t="inlineStr">
        <is>
          <t>臺北市內湖區新湖一路191號旁</t>
        </is>
      </c>
      <c r="G2155" t="n">
        <v>25.0603365</v>
      </c>
      <c r="H2155" t="n">
        <v>121.580007</v>
      </c>
      <c r="I2155" t="n">
        <v>16</v>
      </c>
      <c r="J2155" t="n">
        <v>3</v>
      </c>
      <c r="K2155" t="n">
        <v>523.5</v>
      </c>
      <c r="L2155" s="21" t="inlineStr">
        <is>
          <t>Support</t>
        </is>
      </c>
    </row>
    <row r="2156">
      <c r="A2156" t="n">
        <v>5</v>
      </c>
      <c r="B2156" s="34" t="inlineStr">
        <is>
          <t>S14</t>
        </is>
      </c>
      <c r="C2156" t="inlineStr">
        <is>
          <t>PZ-D</t>
        </is>
      </c>
      <c r="D2156" t="n">
        <v>1</v>
      </c>
      <c r="E2156" t="inlineStr">
        <is>
          <t>K0072</t>
        </is>
      </c>
      <c r="F2156" t="inlineStr">
        <is>
          <t>苗栗縣頭份市興隆路一段423號對面工地</t>
        </is>
      </c>
      <c r="G2156" t="n">
        <v>24.701522</v>
      </c>
      <c r="H2156" t="n">
        <v>120.943419</v>
      </c>
      <c r="I2156" t="n">
        <v>8</v>
      </c>
      <c r="J2156" t="n">
        <v>64.90000000000001</v>
      </c>
      <c r="K2156" t="n">
        <v>72.90000000000001</v>
      </c>
      <c r="L2156" s="21" t="inlineStr">
        <is>
          <t>Support</t>
        </is>
      </c>
    </row>
    <row r="2157">
      <c r="A2157" t="n">
        <v>5</v>
      </c>
      <c r="B2157" s="34" t="inlineStr">
        <is>
          <t>S14</t>
        </is>
      </c>
      <c r="C2157" t="inlineStr">
        <is>
          <t>PZ-D</t>
        </is>
      </c>
      <c r="D2157" t="n">
        <v>2</v>
      </c>
      <c r="E2157" t="inlineStr">
        <is>
          <t>K0068</t>
        </is>
      </c>
      <c r="F2157" t="inlineStr">
        <is>
          <t>苗栗縣頭份市花園東路底-靠近楓林吊橋(E區)</t>
        </is>
      </c>
      <c r="G2157" t="n">
        <v>24.69095533333333</v>
      </c>
      <c r="H2157" t="n">
        <v>120.948871</v>
      </c>
      <c r="I2157" t="n">
        <v>24</v>
      </c>
      <c r="J2157" t="n">
        <v>3.1</v>
      </c>
      <c r="K2157" t="n">
        <v>100</v>
      </c>
      <c r="L2157" s="21" t="inlineStr">
        <is>
          <t>Support</t>
        </is>
      </c>
    </row>
    <row r="2158">
      <c r="A2158" t="n">
        <v>5</v>
      </c>
      <c r="B2158" s="34" t="inlineStr">
        <is>
          <t>S14</t>
        </is>
      </c>
      <c r="C2158" t="inlineStr">
        <is>
          <t>PZ-D</t>
        </is>
      </c>
      <c r="D2158" t="n">
        <v>3</v>
      </c>
      <c r="E2158" t="inlineStr">
        <is>
          <t>K0056</t>
        </is>
      </c>
      <c r="F2158" t="inlineStr">
        <is>
          <t>苗栗縣頭份市中正一路125號</t>
        </is>
      </c>
      <c r="G2158" t="n">
        <v>24.686622</v>
      </c>
      <c r="H2158" t="n">
        <v>120.926773</v>
      </c>
      <c r="I2158" t="n">
        <v>16</v>
      </c>
      <c r="J2158" t="n">
        <v>5.5</v>
      </c>
      <c r="K2158" t="n">
        <v>121.5</v>
      </c>
      <c r="L2158" s="21" t="inlineStr">
        <is>
          <t>Support</t>
        </is>
      </c>
    </row>
    <row r="2159">
      <c r="A2159" t="n">
        <v>5</v>
      </c>
      <c r="B2159" s="34" t="inlineStr">
        <is>
          <t>S14</t>
        </is>
      </c>
      <c r="C2159" t="inlineStr">
        <is>
          <t>PZ-D</t>
        </is>
      </c>
      <c r="D2159" t="n">
        <v>4</v>
      </c>
      <c r="E2159" t="inlineStr">
        <is>
          <t>K0074</t>
        </is>
      </c>
      <c r="F2159" t="inlineStr">
        <is>
          <t>苗栗縣頭份市濱江街21號旁</t>
        </is>
      </c>
      <c r="G2159" t="n">
        <v>24.687672</v>
      </c>
      <c r="H2159" t="n">
        <v>120.916497</v>
      </c>
      <c r="I2159" t="n">
        <v>8</v>
      </c>
      <c r="J2159" t="n">
        <v>3</v>
      </c>
      <c r="K2159" t="n">
        <v>132.5</v>
      </c>
      <c r="L2159" s="21" t="inlineStr">
        <is>
          <t>Support</t>
        </is>
      </c>
    </row>
    <row r="2160">
      <c r="A2160" t="n">
        <v>5</v>
      </c>
      <c r="B2160" s="34" t="inlineStr">
        <is>
          <t>S14</t>
        </is>
      </c>
      <c r="C2160" t="inlineStr">
        <is>
          <t>PZ-D</t>
        </is>
      </c>
      <c r="D2160" t="n">
        <v>5</v>
      </c>
      <c r="E2160" t="inlineStr">
        <is>
          <t>K0062</t>
        </is>
      </c>
      <c r="F2160" t="inlineStr">
        <is>
          <t>苗栗縣頭份市永安街9號</t>
        </is>
      </c>
      <c r="G2160" t="n">
        <v>24.693875</v>
      </c>
      <c r="H2160" t="n">
        <v>120.914411</v>
      </c>
      <c r="I2160" t="n">
        <v>8</v>
      </c>
      <c r="J2160" t="n">
        <v>3</v>
      </c>
      <c r="K2160" t="n">
        <v>143.5</v>
      </c>
      <c r="L2160" s="21" t="inlineStr">
        <is>
          <t>Support</t>
        </is>
      </c>
    </row>
    <row r="2161">
      <c r="A2161" t="n">
        <v>5</v>
      </c>
      <c r="B2161" s="34" t="inlineStr">
        <is>
          <t>S14</t>
        </is>
      </c>
      <c r="C2161" t="inlineStr">
        <is>
          <t>PZ-D</t>
        </is>
      </c>
      <c r="D2161" t="n">
        <v>6</v>
      </c>
      <c r="E2161" t="inlineStr">
        <is>
          <t>K0021</t>
        </is>
      </c>
      <c r="F2161" t="inlineStr">
        <is>
          <t>苗栗縣竹南鎮科西二路6號-台灣杜邦竹南廠</t>
        </is>
      </c>
      <c r="G2161" t="n">
        <v>24.707747</v>
      </c>
      <c r="H2161" t="n">
        <v>120.911031</v>
      </c>
      <c r="I2161" t="n">
        <v>8</v>
      </c>
      <c r="J2161" t="n">
        <v>3.8</v>
      </c>
      <c r="K2161" t="n">
        <v>155.2</v>
      </c>
      <c r="L2161" s="21" t="inlineStr">
        <is>
          <t>Support</t>
        </is>
      </c>
    </row>
    <row r="2162">
      <c r="A2162" t="n">
        <v>5</v>
      </c>
      <c r="B2162" s="34" t="inlineStr">
        <is>
          <t>S14</t>
        </is>
      </c>
      <c r="C2162" t="inlineStr">
        <is>
          <t>PZ-D</t>
        </is>
      </c>
      <c r="D2162" t="n">
        <v>7</v>
      </c>
      <c r="E2162" t="inlineStr">
        <is>
          <t>K0020</t>
        </is>
      </c>
      <c r="F2162" t="inlineStr">
        <is>
          <t>苗栗縣竹南鎮科中路29號</t>
        </is>
      </c>
      <c r="G2162" t="n">
        <v>24.708917</v>
      </c>
      <c r="H2162" t="n">
        <v>120.914142</v>
      </c>
      <c r="I2162" t="n">
        <v>16</v>
      </c>
      <c r="J2162" t="n">
        <v>3</v>
      </c>
      <c r="K2162" t="n">
        <v>174.2</v>
      </c>
      <c r="L2162" s="21" t="inlineStr">
        <is>
          <t>Support</t>
        </is>
      </c>
    </row>
    <row r="2163">
      <c r="A2163" t="n">
        <v>5</v>
      </c>
      <c r="B2163" s="34" t="inlineStr">
        <is>
          <t>S14</t>
        </is>
      </c>
      <c r="C2163" t="inlineStr">
        <is>
          <t>PZ-D</t>
        </is>
      </c>
      <c r="D2163" t="n">
        <v>8</v>
      </c>
      <c r="E2163" t="inlineStr">
        <is>
          <t>K0027</t>
        </is>
      </c>
      <c r="F2163" t="inlineStr">
        <is>
          <t>苗栗縣竹南鎮科專路1號巷底</t>
        </is>
      </c>
      <c r="G2163" t="n">
        <v>24.7116202</v>
      </c>
      <c r="H2163" t="n">
        <v>120.9110616</v>
      </c>
      <c r="I2163" t="n">
        <v>61</v>
      </c>
      <c r="J2163" t="n">
        <v>3</v>
      </c>
      <c r="K2163" t="n">
        <v>238.2</v>
      </c>
      <c r="L2163" s="21" t="inlineStr">
        <is>
          <t>Support</t>
        </is>
      </c>
    </row>
    <row r="2164">
      <c r="A2164" t="n">
        <v>5</v>
      </c>
      <c r="B2164" s="34" t="inlineStr">
        <is>
          <t>S14</t>
        </is>
      </c>
      <c r="C2164" t="inlineStr">
        <is>
          <t>PZ-D</t>
        </is>
      </c>
      <c r="D2164" t="n">
        <v>9</v>
      </c>
      <c r="E2164" t="inlineStr">
        <is>
          <t>K0030</t>
        </is>
      </c>
      <c r="F2164" t="inlineStr">
        <is>
          <t>苗栗縣竹南鎮科學路&amp;科專一路交叉口-A棟13F</t>
        </is>
      </c>
      <c r="G2164" t="n">
        <v>24.713178</v>
      </c>
      <c r="H2164" t="n">
        <v>120.908458</v>
      </c>
      <c r="I2164" t="n">
        <v>20</v>
      </c>
      <c r="J2164" t="n">
        <v>3</v>
      </c>
      <c r="K2164" t="n">
        <v>261.2</v>
      </c>
      <c r="L2164" s="21" t="inlineStr">
        <is>
          <t>Support</t>
        </is>
      </c>
    </row>
    <row r="2165">
      <c r="A2165" t="n">
        <v>5</v>
      </c>
      <c r="B2165" s="34" t="inlineStr">
        <is>
          <t>S14</t>
        </is>
      </c>
      <c r="C2165" t="inlineStr">
        <is>
          <t>PZ-D</t>
        </is>
      </c>
      <c r="D2165" t="n">
        <v>10</v>
      </c>
      <c r="E2165" t="inlineStr">
        <is>
          <t>K0034</t>
        </is>
      </c>
      <c r="F2165" t="inlineStr">
        <is>
          <t>苗栗縣竹南鎮科學路&amp;科專一路交叉口-B棟13F</t>
        </is>
      </c>
      <c r="G2165" t="n">
        <v>24.713178</v>
      </c>
      <c r="H2165" t="n">
        <v>120.908458</v>
      </c>
      <c r="I2165" t="n">
        <v>20</v>
      </c>
      <c r="J2165" t="n">
        <v>2</v>
      </c>
      <c r="K2165" t="n">
        <v>283.2</v>
      </c>
      <c r="L2165" s="21" t="inlineStr">
        <is>
          <t>Support</t>
        </is>
      </c>
    </row>
    <row r="2166">
      <c r="A2166" t="n">
        <v>5</v>
      </c>
      <c r="B2166" s="34" t="inlineStr">
        <is>
          <t>S14</t>
        </is>
      </c>
      <c r="C2166" t="inlineStr">
        <is>
          <t>PZ-D</t>
        </is>
      </c>
      <c r="D2166" t="n">
        <v>11</v>
      </c>
      <c r="E2166" t="inlineStr">
        <is>
          <t>K0035</t>
        </is>
      </c>
      <c r="F2166" t="inlineStr">
        <is>
          <t>苗栗縣竹南鎮科學路&amp;科專一路交叉口-B棟1F</t>
        </is>
      </c>
      <c r="G2166" t="n">
        <v>24.713558</v>
      </c>
      <c r="H2166" t="n">
        <v>120.908261</v>
      </c>
      <c r="I2166" t="n">
        <v>8</v>
      </c>
      <c r="J2166" t="n">
        <v>2</v>
      </c>
      <c r="K2166" t="n">
        <v>293.2</v>
      </c>
      <c r="L2166" s="21" t="inlineStr">
        <is>
          <t>Support</t>
        </is>
      </c>
    </row>
    <row r="2167">
      <c r="A2167" t="n">
        <v>5</v>
      </c>
      <c r="B2167" s="34" t="inlineStr">
        <is>
          <t>S14</t>
        </is>
      </c>
      <c r="C2167" t="inlineStr">
        <is>
          <t>PZ-D</t>
        </is>
      </c>
      <c r="D2167" t="n">
        <v>12</v>
      </c>
      <c r="E2167" t="inlineStr">
        <is>
          <t>K0036</t>
        </is>
      </c>
      <c r="F2167" t="inlineStr">
        <is>
          <t>苗栗縣竹南鎮科學路&amp;科專一路交叉口-B棟5F</t>
        </is>
      </c>
      <c r="G2167" t="n">
        <v>24.713714</v>
      </c>
      <c r="H2167" t="n">
        <v>120.908369</v>
      </c>
      <c r="I2167" t="n">
        <v>20</v>
      </c>
      <c r="J2167" t="n">
        <v>2</v>
      </c>
      <c r="K2167" t="n">
        <v>315.2</v>
      </c>
      <c r="L2167" s="21" t="inlineStr">
        <is>
          <t>Support</t>
        </is>
      </c>
    </row>
    <row r="2168">
      <c r="A2168" t="n">
        <v>5</v>
      </c>
      <c r="B2168" s="34" t="inlineStr">
        <is>
          <t>S14</t>
        </is>
      </c>
      <c r="C2168" t="inlineStr">
        <is>
          <t>PZ-D</t>
        </is>
      </c>
      <c r="D2168" t="n">
        <v>13</v>
      </c>
      <c r="E2168" t="inlineStr">
        <is>
          <t>K0013</t>
        </is>
      </c>
      <c r="F2168" t="inlineStr">
        <is>
          <t>苗栗縣竹南鎮公義路&amp;科專二路交叉口</t>
        </is>
      </c>
      <c r="G2168" t="n">
        <v>24.71376633333334</v>
      </c>
      <c r="H2168" t="n">
        <v>120.9047116666667</v>
      </c>
      <c r="I2168" t="n">
        <v>24</v>
      </c>
      <c r="J2168" t="n">
        <v>3</v>
      </c>
      <c r="K2168" t="n">
        <v>342.2</v>
      </c>
      <c r="L2168" s="21" t="inlineStr">
        <is>
          <t>Support</t>
        </is>
      </c>
    </row>
    <row r="2169">
      <c r="A2169" t="n">
        <v>5</v>
      </c>
      <c r="B2169" s="34" t="inlineStr">
        <is>
          <t>S14</t>
        </is>
      </c>
      <c r="C2169" t="inlineStr">
        <is>
          <t>PZ-D</t>
        </is>
      </c>
      <c r="D2169" t="n">
        <v>14</v>
      </c>
      <c r="E2169" t="inlineStr">
        <is>
          <t>K0041</t>
        </is>
      </c>
      <c r="F2169" t="inlineStr">
        <is>
          <t>苗栗縣竹南鎮群義路50號對面工地</t>
        </is>
      </c>
      <c r="G2169" t="n">
        <v>24.71722</v>
      </c>
      <c r="H2169" t="n">
        <v>120.907028</v>
      </c>
      <c r="I2169" t="n">
        <v>16</v>
      </c>
      <c r="J2169" t="n">
        <v>3</v>
      </c>
      <c r="K2169" t="n">
        <v>361.2</v>
      </c>
      <c r="L2169" s="21" t="inlineStr">
        <is>
          <t>Support</t>
        </is>
      </c>
    </row>
    <row r="2170">
      <c r="A2170" t="n">
        <v>5</v>
      </c>
      <c r="B2170" s="34" t="inlineStr">
        <is>
          <t>S14</t>
        </is>
      </c>
      <c r="C2170" t="inlineStr">
        <is>
          <t>PZ-D</t>
        </is>
      </c>
      <c r="D2170" t="n">
        <v>15</v>
      </c>
      <c r="E2170" t="inlineStr">
        <is>
          <t>K0010</t>
        </is>
      </c>
      <c r="F2170" t="inlineStr">
        <is>
          <t>苗栗縣竹南鎮仁愛路769號旁-11F</t>
        </is>
      </c>
      <c r="G2170" t="n">
        <v>24.710067</v>
      </c>
      <c r="H2170" t="n">
        <v>120.900322</v>
      </c>
      <c r="I2170" t="n">
        <v>18</v>
      </c>
      <c r="J2170" t="n">
        <v>3</v>
      </c>
      <c r="K2170" t="n">
        <v>382.2</v>
      </c>
      <c r="L2170" s="21" t="inlineStr">
        <is>
          <t>Support</t>
        </is>
      </c>
    </row>
    <row r="2171">
      <c r="A2171" t="n">
        <v>5</v>
      </c>
      <c r="B2171" s="34" t="inlineStr">
        <is>
          <t>S14</t>
        </is>
      </c>
      <c r="C2171" t="inlineStr">
        <is>
          <t>PZ-D</t>
        </is>
      </c>
      <c r="D2171" t="n">
        <v>16</v>
      </c>
      <c r="E2171" t="inlineStr">
        <is>
          <t>K0011</t>
        </is>
      </c>
      <c r="F2171" t="inlineStr">
        <is>
          <t>苗栗縣竹南鎮仁愛路769號旁-7F</t>
        </is>
      </c>
      <c r="G2171" t="n">
        <v>24.710044</v>
      </c>
      <c r="H2171" t="n">
        <v>120.900214</v>
      </c>
      <c r="I2171" t="n">
        <v>18</v>
      </c>
      <c r="J2171" t="n">
        <v>2</v>
      </c>
      <c r="K2171" t="n">
        <v>402.2</v>
      </c>
      <c r="L2171" s="21" t="inlineStr">
        <is>
          <t>Support</t>
        </is>
      </c>
    </row>
    <row r="2172">
      <c r="A2172" t="n">
        <v>5</v>
      </c>
      <c r="B2172" s="34" t="inlineStr">
        <is>
          <t>S14</t>
        </is>
      </c>
      <c r="C2172" t="inlineStr">
        <is>
          <t>PZ-D</t>
        </is>
      </c>
      <c r="D2172" t="n">
        <v>17</v>
      </c>
      <c r="E2172" t="inlineStr">
        <is>
          <t>K0006</t>
        </is>
      </c>
      <c r="F2172" t="inlineStr">
        <is>
          <t>苗栗縣竹南鎮大埔十街45號對面</t>
        </is>
      </c>
      <c r="G2172" t="n">
        <v>24.707861</v>
      </c>
      <c r="H2172" t="n">
        <v>120.899627</v>
      </c>
      <c r="I2172" t="n">
        <v>16</v>
      </c>
      <c r="J2172" t="n">
        <v>3</v>
      </c>
      <c r="K2172" t="n">
        <v>421.2</v>
      </c>
      <c r="L2172" s="21" t="inlineStr">
        <is>
          <t>Support</t>
        </is>
      </c>
    </row>
    <row r="2173">
      <c r="A2173" t="n">
        <v>5</v>
      </c>
      <c r="B2173" s="34" t="inlineStr">
        <is>
          <t>S14</t>
        </is>
      </c>
      <c r="C2173" t="inlineStr">
        <is>
          <t>PZ-D</t>
        </is>
      </c>
      <c r="D2173" t="n">
        <v>18</v>
      </c>
      <c r="E2173" t="inlineStr">
        <is>
          <t>K0005</t>
        </is>
      </c>
      <c r="F2173" t="inlineStr">
        <is>
          <t>苗栗縣竹南鎮大埔七街&amp;大埔九街交叉口</t>
        </is>
      </c>
      <c r="G2173" t="n">
        <v>24.704442</v>
      </c>
      <c r="H2173" t="n">
        <v>120.901592</v>
      </c>
      <c r="I2173" t="n">
        <v>8</v>
      </c>
      <c r="J2173" t="n">
        <v>3</v>
      </c>
      <c r="K2173" t="n">
        <v>432.2</v>
      </c>
      <c r="L2173" s="21" t="inlineStr">
        <is>
          <t>Support</t>
        </is>
      </c>
    </row>
    <row r="2174">
      <c r="A2174" t="n">
        <v>5</v>
      </c>
      <c r="B2174" s="34" t="inlineStr">
        <is>
          <t>S14</t>
        </is>
      </c>
      <c r="C2174" t="inlineStr">
        <is>
          <t>PZ-D</t>
        </is>
      </c>
      <c r="D2174" t="n">
        <v>19</v>
      </c>
      <c r="E2174" t="inlineStr">
        <is>
          <t>K0054</t>
        </is>
      </c>
      <c r="F2174" t="inlineStr">
        <is>
          <t>苗栗縣頭份市中央路496號</t>
        </is>
      </c>
      <c r="G2174" t="n">
        <v>24.694127</v>
      </c>
      <c r="H2174" t="n">
        <v>120.896641</v>
      </c>
      <c r="I2174" t="n">
        <v>8</v>
      </c>
      <c r="J2174" t="n">
        <v>3</v>
      </c>
      <c r="K2174" t="n">
        <v>443.3</v>
      </c>
      <c r="L2174" s="21" t="inlineStr">
        <is>
          <t>Support</t>
        </is>
      </c>
    </row>
    <row r="2175">
      <c r="A2175" t="n">
        <v>5</v>
      </c>
      <c r="B2175" s="34" t="inlineStr">
        <is>
          <t>S14</t>
        </is>
      </c>
      <c r="C2175" t="inlineStr">
        <is>
          <t>PZ-D</t>
        </is>
      </c>
      <c r="D2175" t="n">
        <v>20</v>
      </c>
      <c r="E2175" t="inlineStr">
        <is>
          <t>K0055</t>
        </is>
      </c>
      <c r="F2175" t="inlineStr">
        <is>
          <t>苗栗縣頭份市中央路699號對面工地</t>
        </is>
      </c>
      <c r="G2175" t="n">
        <v>24.694664</v>
      </c>
      <c r="H2175" t="n">
        <v>120.889989</v>
      </c>
      <c r="I2175" t="n">
        <v>8</v>
      </c>
      <c r="J2175" t="n">
        <v>3</v>
      </c>
      <c r="K2175" t="n">
        <v>454.3</v>
      </c>
      <c r="L2175" s="21" t="inlineStr">
        <is>
          <t>Support</t>
        </is>
      </c>
    </row>
    <row r="2176">
      <c r="A2176" t="n">
        <v>5</v>
      </c>
      <c r="B2176" s="34" t="inlineStr">
        <is>
          <t>S14</t>
        </is>
      </c>
      <c r="C2176" t="inlineStr">
        <is>
          <t>PZ-D</t>
        </is>
      </c>
      <c r="D2176" t="n">
        <v>21</v>
      </c>
      <c r="E2176" t="inlineStr">
        <is>
          <t>K0012</t>
        </is>
      </c>
      <c r="F2176" t="inlineStr">
        <is>
          <t>苗栗縣竹南鎮公北一路8號旁</t>
        </is>
      </c>
      <c r="G2176" t="n">
        <v>24.692419</v>
      </c>
      <c r="H2176" t="n">
        <v>120.887464</v>
      </c>
      <c r="I2176" t="n">
        <v>8</v>
      </c>
      <c r="J2176" t="n">
        <v>3</v>
      </c>
      <c r="K2176" t="n">
        <v>465.3</v>
      </c>
      <c r="L2176" s="21" t="inlineStr">
        <is>
          <t>Support</t>
        </is>
      </c>
    </row>
    <row r="2177">
      <c r="A2177" t="n">
        <v>6</v>
      </c>
      <c r="B2177" s="34" t="inlineStr">
        <is>
          <t>S14</t>
        </is>
      </c>
      <c r="C2177" t="inlineStr">
        <is>
          <t>PZ-C</t>
        </is>
      </c>
      <c r="D2177" t="n">
        <v>1</v>
      </c>
      <c r="E2177" t="inlineStr">
        <is>
          <t>J0084</t>
        </is>
      </c>
      <c r="F2177" t="inlineStr">
        <is>
          <t>新竹縣竹東鎮水仙路200巷-1號-萊茵山莊</t>
        </is>
      </c>
      <c r="G2177" t="n">
        <v>24.752089</v>
      </c>
      <c r="H2177" t="n">
        <v>121.034247</v>
      </c>
      <c r="I2177" t="n">
        <v>8</v>
      </c>
      <c r="J2177" t="n">
        <v>54.2</v>
      </c>
      <c r="K2177" t="n">
        <v>62.2</v>
      </c>
      <c r="L2177" s="21" t="inlineStr">
        <is>
          <t>Support</t>
        </is>
      </c>
    </row>
    <row r="2178">
      <c r="A2178" t="n">
        <v>6</v>
      </c>
      <c r="B2178" s="34" t="inlineStr">
        <is>
          <t>S14</t>
        </is>
      </c>
      <c r="C2178" t="inlineStr">
        <is>
          <t>PZ-C</t>
        </is>
      </c>
      <c r="D2178" t="n">
        <v>2</v>
      </c>
      <c r="E2178" t="inlineStr">
        <is>
          <t>J0213</t>
        </is>
      </c>
      <c r="F2178" t="inlineStr">
        <is>
          <t>新竹縣寶山鄉大雅一街110號-會分散擺放-環北料場</t>
        </is>
      </c>
      <c r="G2178" t="n">
        <v>24.7512064</v>
      </c>
      <c r="H2178" t="n">
        <v>121.018169</v>
      </c>
      <c r="I2178" t="n">
        <v>32</v>
      </c>
      <c r="J2178" t="n">
        <v>3.9</v>
      </c>
      <c r="K2178" t="n">
        <v>98.09999999999999</v>
      </c>
      <c r="L2178" s="21" t="inlineStr">
        <is>
          <t>Support</t>
        </is>
      </c>
    </row>
    <row r="2179">
      <c r="A2179" t="n">
        <v>6</v>
      </c>
      <c r="B2179" s="34" t="inlineStr">
        <is>
          <t>S14</t>
        </is>
      </c>
      <c r="C2179" t="inlineStr">
        <is>
          <t>PZ-C</t>
        </is>
      </c>
      <c r="D2179" t="n">
        <v>3</v>
      </c>
      <c r="E2179" t="inlineStr">
        <is>
          <t>J0215</t>
        </is>
      </c>
      <c r="F2179" t="inlineStr">
        <is>
          <t>新竹縣寶山鄉大雅一街110號-會分散擺放-環南下料場</t>
        </is>
      </c>
      <c r="G2179" t="n">
        <v>24.7512064</v>
      </c>
      <c r="H2179" t="n">
        <v>121.018169</v>
      </c>
      <c r="I2179" t="n">
        <v>16</v>
      </c>
      <c r="J2179" t="n">
        <v>2</v>
      </c>
      <c r="K2179" t="n">
        <v>116.1</v>
      </c>
      <c r="L2179" s="21" t="inlineStr">
        <is>
          <t>Support</t>
        </is>
      </c>
    </row>
    <row r="2180">
      <c r="A2180" t="n">
        <v>6</v>
      </c>
      <c r="B2180" s="34" t="inlineStr">
        <is>
          <t>S14</t>
        </is>
      </c>
      <c r="C2180" t="inlineStr">
        <is>
          <t>PZ-C</t>
        </is>
      </c>
      <c r="D2180" t="n">
        <v>4</v>
      </c>
      <c r="E2180" t="inlineStr">
        <is>
          <t>J0224</t>
        </is>
      </c>
      <c r="F2180" t="inlineStr">
        <is>
          <t>新竹縣寶山鄉新湖路一段386號</t>
        </is>
      </c>
      <c r="G2180" t="n">
        <v>24.737202</v>
      </c>
      <c r="H2180" t="n">
        <v>121.02562</v>
      </c>
      <c r="I2180" t="n">
        <v>8</v>
      </c>
      <c r="J2180" t="n">
        <v>4.2</v>
      </c>
      <c r="K2180" t="n">
        <v>128.3</v>
      </c>
      <c r="L2180" s="21" t="inlineStr">
        <is>
          <t>Support</t>
        </is>
      </c>
    </row>
    <row r="2181">
      <c r="I2181" s="35">
        <f>SUM(I2:I2180)</f>
        <v/>
      </c>
      <c r="J2181" s="35">
        <f>SUM(J2:J2180)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8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10" customWidth="1" min="3" max="3"/>
    <col width="12" customWidth="1" min="4" max="4"/>
    <col width="14.4" customWidth="1" min="5" max="5"/>
    <col width="12" customWidth="1" min="6" max="6"/>
    <col width="16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6" customWidth="1" min="25" max="25"/>
  </cols>
  <sheetData>
    <row r="1"/>
    <row r="2" ht="30" customHeight="1">
      <c r="B2" s="68" t="inlineStr">
        <is>
          <t>人工排程 vs 智慧派工 - 里程與工時效能對比</t>
        </is>
      </c>
    </row>
    <row r="3"/>
    <row r="4" ht="20" customHeight="1">
      <c r="B4" s="69" t="inlineStr">
        <is>
          <t>一、總體指標對比</t>
        </is>
      </c>
    </row>
    <row r="5" ht="25" customHeight="1">
      <c r="B5" s="70" t="inlineStr">
        <is>
          <t>指標項目</t>
        </is>
      </c>
      <c r="C5" s="70" t="inlineStr">
        <is>
          <t>人工排程</t>
        </is>
      </c>
      <c r="D5" s="70" t="inlineStr">
        <is>
          <t>智慧派工</t>
        </is>
      </c>
      <c r="E5" s="70" t="inlineStr">
        <is>
          <t>節省量 / 提升</t>
        </is>
      </c>
      <c r="F5" s="70" t="inlineStr">
        <is>
          <t>幅度 (%)</t>
        </is>
      </c>
    </row>
    <row r="6" ht="20" customHeight="1">
      <c r="B6" s="71" t="inlineStr">
        <is>
          <t>總行駛距離 (km)</t>
        </is>
      </c>
      <c r="C6" s="72">
        <f>G38</f>
        <v/>
      </c>
      <c r="D6" s="72">
        <f>J38</f>
        <v/>
      </c>
      <c r="E6" s="72">
        <f>C6-D6</f>
        <v/>
      </c>
      <c r="F6" s="73">
        <f>E6/C6</f>
        <v/>
      </c>
    </row>
    <row r="7" ht="20" customHeight="1">
      <c r="B7" s="71" t="inlineStr">
        <is>
          <t>平均每日行駛距離 (km/天)</t>
        </is>
      </c>
      <c r="C7" s="72">
        <f>C6/F38</f>
        <v/>
      </c>
      <c r="D7" s="72">
        <f>D6/I38</f>
        <v/>
      </c>
      <c r="E7" s="72">
        <f>C7-D7</f>
        <v/>
      </c>
      <c r="F7" s="73">
        <f>E7/C7</f>
        <v/>
      </c>
    </row>
    <row r="8" ht="20" customHeight="1">
      <c r="B8" s="71" t="inlineStr">
        <is>
          <t>平均司機行駛距離 (km/人)</t>
        </is>
      </c>
      <c r="C8" s="72">
        <f>C6/14</f>
        <v/>
      </c>
      <c r="D8" s="72">
        <f>D6/14</f>
        <v/>
      </c>
      <c r="E8" s="72">
        <f>C8-D8</f>
        <v/>
      </c>
      <c r="F8" s="73">
        <f>E8/C8</f>
        <v/>
      </c>
    </row>
    <row r="9" ht="20" customHeight="1">
      <c r="B9" s="71" t="inlineStr">
        <is>
          <t>總行駛時間 (分鐘)</t>
        </is>
      </c>
      <c r="C9" s="72">
        <f>M38</f>
        <v/>
      </c>
      <c r="D9" s="72">
        <f>N38</f>
        <v/>
      </c>
      <c r="E9" s="72">
        <f>C9-D9</f>
        <v/>
      </c>
      <c r="F9" s="73">
        <f>E9/C9</f>
        <v/>
      </c>
    </row>
    <row r="10" ht="20" customHeight="1">
      <c r="B10" s="71" t="inlineStr">
        <is>
          <t>平均每日行駛時間 (分鐘/天)</t>
        </is>
      </c>
      <c r="C10" s="72">
        <f>C9/F38</f>
        <v/>
      </c>
      <c r="D10" s="72">
        <f>D9/I38</f>
        <v/>
      </c>
      <c r="E10" s="72">
        <f>C10-D10</f>
        <v/>
      </c>
      <c r="F10" s="73">
        <f>E10/C10</f>
        <v/>
      </c>
    </row>
    <row r="11" ht="20" customHeight="1">
      <c r="B11" s="71" t="inlineStr">
        <is>
          <t>平均司機行駛時間 (分鐘/人)</t>
        </is>
      </c>
      <c r="C11" s="72">
        <f>C9/14</f>
        <v/>
      </c>
      <c r="D11" s="72">
        <f>D9/14</f>
        <v/>
      </c>
      <c r="E11" s="72">
        <f>C11-D11</f>
        <v/>
      </c>
      <c r="F11" s="73">
        <f>E11/C11</f>
        <v/>
      </c>
    </row>
    <row r="12" ht="20" customHeight="1">
      <c r="B12" s="71" t="inlineStr">
        <is>
          <t>總工時 (分鐘) - 每日上限 540 分鐘</t>
        </is>
      </c>
      <c r="C12" s="72">
        <f>Q38</f>
        <v/>
      </c>
      <c r="D12" s="72">
        <f>R38</f>
        <v/>
      </c>
      <c r="E12" s="72">
        <f>C12-D12</f>
        <v/>
      </c>
      <c r="F12" s="73">
        <f>E12/C12</f>
        <v/>
      </c>
    </row>
    <row r="13" ht="20" customHeight="1">
      <c r="B13" s="71" t="inlineStr">
        <is>
          <t>總節省燃油量 (公升)</t>
        </is>
      </c>
      <c r="C13" s="74" t="inlineStr">
        <is>
          <t>-</t>
        </is>
      </c>
      <c r="D13" s="74" t="inlineStr">
        <is>
          <t>-</t>
        </is>
      </c>
      <c r="E13" s="75">
        <f>U38</f>
        <v/>
      </c>
      <c r="F13" s="74" t="inlineStr">
        <is>
          <t>-</t>
        </is>
      </c>
    </row>
    <row r="14" ht="20" customHeight="1">
      <c r="B14" s="71" t="inlineStr">
        <is>
          <t>總節省油資費用 (新台幣元) [31元/L]</t>
        </is>
      </c>
      <c r="C14" s="74" t="inlineStr">
        <is>
          <t>-</t>
        </is>
      </c>
      <c r="D14" s="74" t="inlineStr">
        <is>
          <t>-</t>
        </is>
      </c>
      <c r="E14" s="76">
        <f>V38</f>
        <v/>
      </c>
      <c r="F14" s="74" t="inlineStr">
        <is>
          <t>-</t>
        </is>
      </c>
    </row>
    <row r="15" ht="20" customHeight="1">
      <c r="B15" s="71" t="inlineStr">
        <is>
          <t>總節省工時時間 (小時) [上限內]</t>
        </is>
      </c>
      <c r="C15" s="74" t="inlineStr">
        <is>
          <t>-</t>
        </is>
      </c>
      <c r="D15" s="74" t="inlineStr">
        <is>
          <t>-</t>
        </is>
      </c>
      <c r="E15" s="75">
        <f>W38</f>
        <v/>
      </c>
      <c r="F15" s="74" t="inlineStr">
        <is>
          <t>-</t>
        </is>
      </c>
    </row>
    <row r="16" ht="20" customHeight="1">
      <c r="B16" s="71" t="inlineStr">
        <is>
          <t>總節省人力成本 (新台幣元) [200元/hr]</t>
        </is>
      </c>
      <c r="C16" s="74" t="inlineStr">
        <is>
          <t>-</t>
        </is>
      </c>
      <c r="D16" s="74" t="inlineStr">
        <is>
          <t>-</t>
        </is>
      </c>
      <c r="E16" s="76">
        <f>X38</f>
        <v/>
      </c>
      <c r="F16" s="74" t="inlineStr">
        <is>
          <t>-</t>
        </is>
      </c>
    </row>
    <row r="17" ht="20" customHeight="1">
      <c r="B17" s="71" t="inlineStr">
        <is>
          <t>智慧派工累計節省總金額 (新台幣元)</t>
        </is>
      </c>
      <c r="C17" s="74" t="inlineStr">
        <is>
          <t>-</t>
        </is>
      </c>
      <c r="D17" s="74" t="inlineStr">
        <is>
          <t>-</t>
        </is>
      </c>
      <c r="E17" s="77">
        <f>Y38</f>
        <v/>
      </c>
      <c r="F17" s="74" t="inlineStr">
        <is>
          <t>-</t>
        </is>
      </c>
    </row>
    <row r="18"/>
    <row r="19"/>
    <row r="20"/>
    <row r="21" ht="20" customHeight="1">
      <c r="B21" s="69" t="inlineStr">
        <is>
          <t>二、司機個人里程、工時與經濟效益對比明細</t>
        </is>
      </c>
    </row>
    <row r="22"/>
    <row r="23" ht="25" customHeight="1">
      <c r="B23" s="70" t="inlineStr">
        <is>
          <t>序號</t>
        </is>
      </c>
      <c r="C23" s="70" t="inlineStr">
        <is>
          <t>所屬站點</t>
        </is>
      </c>
      <c r="D23" s="70" t="inlineStr">
        <is>
          <t>司機別名</t>
        </is>
      </c>
      <c r="E23" s="70" t="inlineStr">
        <is>
          <t>人工代號</t>
        </is>
      </c>
      <c r="F23" s="70" t="inlineStr">
        <is>
          <t>人工天數</t>
        </is>
      </c>
      <c r="G23" s="70" t="inlineStr">
        <is>
          <t>人工距離(km)</t>
        </is>
      </c>
      <c r="H23" s="70" t="inlineStr">
        <is>
          <t>智慧代號</t>
        </is>
      </c>
      <c r="I23" s="70" t="inlineStr">
        <is>
          <t>智慧天數</t>
        </is>
      </c>
      <c r="J23" s="70" t="inlineStr">
        <is>
          <t>智慧距離(km)</t>
        </is>
      </c>
      <c r="K23" s="70" t="inlineStr">
        <is>
          <t>節省距離(km)</t>
        </is>
      </c>
      <c r="L23" s="70" t="inlineStr">
        <is>
          <t>距離提升 (%)</t>
        </is>
      </c>
      <c r="M23" s="70" t="inlineStr">
        <is>
          <t>人工時間(分)</t>
        </is>
      </c>
      <c r="N23" s="70" t="inlineStr">
        <is>
          <t>智慧時間(分)</t>
        </is>
      </c>
      <c r="O23" s="70" t="inlineStr">
        <is>
          <t>節省時間(分)</t>
        </is>
      </c>
      <c r="P23" s="70" t="inlineStr">
        <is>
          <t>時間提升 (%)</t>
        </is>
      </c>
      <c r="Q23" s="70" t="inlineStr">
        <is>
          <t>人工上限工時(分)</t>
        </is>
      </c>
      <c r="R23" s="70" t="inlineStr">
        <is>
          <t>智慧上限工時(分)</t>
        </is>
      </c>
      <c r="S23" s="70" t="inlineStr">
        <is>
          <t>工時節省(分)</t>
        </is>
      </c>
      <c r="T23" s="70" t="inlineStr">
        <is>
          <t>工時節省率 (%)</t>
        </is>
      </c>
      <c r="U23" s="70" t="inlineStr">
        <is>
          <t>節省油量(L)</t>
        </is>
      </c>
      <c r="V23" s="70" t="inlineStr">
        <is>
          <t>節省油資(元)</t>
        </is>
      </c>
      <c r="W23" s="70" t="inlineStr">
        <is>
          <t>節省工時(hr)</t>
        </is>
      </c>
      <c r="X23" s="70" t="inlineStr">
        <is>
          <t>節省薪資(元)</t>
        </is>
      </c>
      <c r="Y23" s="70" t="inlineStr">
        <is>
          <t>總效益金額(元)</t>
        </is>
      </c>
    </row>
    <row r="24" ht="20" customHeight="1">
      <c r="B24" s="78" t="n">
        <v>1</v>
      </c>
      <c r="C24" s="78" t="inlineStr">
        <is>
          <t>平鎮</t>
        </is>
      </c>
      <c r="D24" s="78" t="inlineStr">
        <is>
          <t>平鎮1</t>
        </is>
      </c>
      <c r="E24" s="78" t="inlineStr">
        <is>
          <t>S01</t>
        </is>
      </c>
      <c r="F24" s="78" t="n">
        <v>6</v>
      </c>
      <c r="G24" s="72" t="n">
        <v>205.8453027815357</v>
      </c>
      <c r="H24" s="78" t="inlineStr">
        <is>
          <t>P01</t>
        </is>
      </c>
      <c r="I24" s="78" t="n">
        <v>6</v>
      </c>
      <c r="J24" s="72" t="n">
        <v>161.7032956037538</v>
      </c>
      <c r="K24" s="79">
        <f>G24-J24</f>
        <v/>
      </c>
      <c r="L24" s="80">
        <f>K24/G24</f>
        <v/>
      </c>
      <c r="M24" s="72" t="n">
        <v>633.4</v>
      </c>
      <c r="N24" s="72" t="n">
        <v>723.61</v>
      </c>
      <c r="O24" s="81">
        <f>M24-N24</f>
        <v/>
      </c>
      <c r="P24" s="82">
        <f>O24/M24</f>
        <v/>
      </c>
      <c r="Q24" s="72" t="n">
        <v>2849.4</v>
      </c>
      <c r="R24" s="72" t="n">
        <v>2866.61</v>
      </c>
      <c r="S24" s="81">
        <f>Q24-R24</f>
        <v/>
      </c>
      <c r="T24" s="82">
        <f>S24/Q24</f>
        <v/>
      </c>
      <c r="U24" s="79">
        <f>K24/10</f>
        <v/>
      </c>
      <c r="V24" s="83">
        <f>U24*31</f>
        <v/>
      </c>
      <c r="W24" s="79">
        <f>S24/60</f>
        <v/>
      </c>
      <c r="X24" s="83">
        <f>W24*200</f>
        <v/>
      </c>
      <c r="Y24" s="83">
        <f>V24+X24</f>
        <v/>
      </c>
    </row>
    <row r="25" ht="20" customHeight="1">
      <c r="B25" s="78" t="n">
        <v>2</v>
      </c>
      <c r="C25" s="78" t="inlineStr">
        <is>
          <t>平鎮</t>
        </is>
      </c>
      <c r="D25" s="78" t="inlineStr">
        <is>
          <t>平鎮2</t>
        </is>
      </c>
      <c r="E25" s="78" t="inlineStr">
        <is>
          <t>S02</t>
        </is>
      </c>
      <c r="F25" s="78" t="n">
        <v>6</v>
      </c>
      <c r="G25" s="72" t="n">
        <v>159.6470061441946</v>
      </c>
      <c r="H25" s="78" t="inlineStr">
        <is>
          <t>P02</t>
        </is>
      </c>
      <c r="I25" s="78" t="n">
        <v>5</v>
      </c>
      <c r="J25" s="72" t="n">
        <v>116.323675641267</v>
      </c>
      <c r="K25" s="79">
        <f>G25-J25</f>
        <v/>
      </c>
      <c r="L25" s="80">
        <f>K25/G25</f>
        <v/>
      </c>
      <c r="M25" s="72" t="n">
        <v>592.4000000000001</v>
      </c>
      <c r="N25" s="72" t="n">
        <v>557.4399999999999</v>
      </c>
      <c r="O25" s="79">
        <f>M25-N25</f>
        <v/>
      </c>
      <c r="P25" s="80">
        <f>O25/M25</f>
        <v/>
      </c>
      <c r="Q25" s="72" t="n">
        <v>3001.4</v>
      </c>
      <c r="R25" s="72" t="n">
        <v>2491.44</v>
      </c>
      <c r="S25" s="79">
        <f>Q25-R25</f>
        <v/>
      </c>
      <c r="T25" s="80">
        <f>S25/Q25</f>
        <v/>
      </c>
      <c r="U25" s="79">
        <f>K25/10</f>
        <v/>
      </c>
      <c r="V25" s="83">
        <f>U25*31</f>
        <v/>
      </c>
      <c r="W25" s="79">
        <f>S25/60</f>
        <v/>
      </c>
      <c r="X25" s="83">
        <f>W25*200</f>
        <v/>
      </c>
      <c r="Y25" s="83">
        <f>V25+X25</f>
        <v/>
      </c>
    </row>
    <row r="26" ht="20" customHeight="1">
      <c r="B26" s="78" t="n">
        <v>3</v>
      </c>
      <c r="C26" s="78" t="inlineStr">
        <is>
          <t>平鎮</t>
        </is>
      </c>
      <c r="D26" s="78" t="inlineStr">
        <is>
          <t>平鎮3</t>
        </is>
      </c>
      <c r="E26" s="78" t="inlineStr">
        <is>
          <t>S03</t>
        </is>
      </c>
      <c r="F26" s="78" t="n">
        <v>6</v>
      </c>
      <c r="G26" s="72" t="n">
        <v>138.1720827647012</v>
      </c>
      <c r="H26" s="78" t="inlineStr">
        <is>
          <t>P03</t>
        </is>
      </c>
      <c r="I26" s="78" t="n">
        <v>6</v>
      </c>
      <c r="J26" s="72" t="n">
        <v>131.1728700002038</v>
      </c>
      <c r="K26" s="79">
        <f>G26-J26</f>
        <v/>
      </c>
      <c r="L26" s="80">
        <f>K26/G26</f>
        <v/>
      </c>
      <c r="M26" s="72" t="n">
        <v>569.3000000000001</v>
      </c>
      <c r="N26" s="72" t="n">
        <v>670.72</v>
      </c>
      <c r="O26" s="81">
        <f>M26-N26</f>
        <v/>
      </c>
      <c r="P26" s="82">
        <f>O26/M26</f>
        <v/>
      </c>
      <c r="Q26" s="72" t="n">
        <v>2675.3</v>
      </c>
      <c r="R26" s="72" t="n">
        <v>2926.22</v>
      </c>
      <c r="S26" s="81">
        <f>Q26-R26</f>
        <v/>
      </c>
      <c r="T26" s="82">
        <f>S26/Q26</f>
        <v/>
      </c>
      <c r="U26" s="79">
        <f>K26/10</f>
        <v/>
      </c>
      <c r="V26" s="83">
        <f>U26*31</f>
        <v/>
      </c>
      <c r="W26" s="79">
        <f>S26/60</f>
        <v/>
      </c>
      <c r="X26" s="83">
        <f>W26*200</f>
        <v/>
      </c>
      <c r="Y26" s="83">
        <f>V26+X26</f>
        <v/>
      </c>
    </row>
    <row r="27" ht="20" customHeight="1">
      <c r="B27" s="78" t="n">
        <v>4</v>
      </c>
      <c r="C27" s="78" t="inlineStr">
        <is>
          <t>平鎮</t>
        </is>
      </c>
      <c r="D27" s="78" t="inlineStr">
        <is>
          <t>平鎮4</t>
        </is>
      </c>
      <c r="E27" s="78" t="inlineStr">
        <is>
          <t>S04</t>
        </is>
      </c>
      <c r="F27" s="78" t="n">
        <v>6</v>
      </c>
      <c r="G27" s="72" t="n">
        <v>160.2595287589674</v>
      </c>
      <c r="H27" s="78" t="inlineStr">
        <is>
          <t>P04</t>
        </is>
      </c>
      <c r="I27" s="78" t="n">
        <v>6</v>
      </c>
      <c r="J27" s="72" t="n">
        <v>125.7623627960741</v>
      </c>
      <c r="K27" s="79">
        <f>G27-J27</f>
        <v/>
      </c>
      <c r="L27" s="80">
        <f>K27/G27</f>
        <v/>
      </c>
      <c r="M27" s="72" t="n">
        <v>662.6999999999999</v>
      </c>
      <c r="N27" s="72" t="n">
        <v>526.9499999999999</v>
      </c>
      <c r="O27" s="79">
        <f>M27-N27</f>
        <v/>
      </c>
      <c r="P27" s="80">
        <f>O27/M27</f>
        <v/>
      </c>
      <c r="Q27" s="72" t="n">
        <v>2702.699999999999</v>
      </c>
      <c r="R27" s="72" t="n">
        <v>2960.950000000001</v>
      </c>
      <c r="S27" s="81">
        <f>Q27-R27</f>
        <v/>
      </c>
      <c r="T27" s="82">
        <f>S27/Q27</f>
        <v/>
      </c>
      <c r="U27" s="79">
        <f>K27/10</f>
        <v/>
      </c>
      <c r="V27" s="83">
        <f>U27*31</f>
        <v/>
      </c>
      <c r="W27" s="79">
        <f>S27/60</f>
        <v/>
      </c>
      <c r="X27" s="83">
        <f>W27*200</f>
        <v/>
      </c>
      <c r="Y27" s="83">
        <f>V27+X27</f>
        <v/>
      </c>
    </row>
    <row r="28" ht="20" customHeight="1">
      <c r="B28" s="78" t="n">
        <v>5</v>
      </c>
      <c r="C28" s="78" t="inlineStr">
        <is>
          <t>平鎮</t>
        </is>
      </c>
      <c r="D28" s="78" t="inlineStr">
        <is>
          <t>平鎮5</t>
        </is>
      </c>
      <c r="E28" s="78" t="inlineStr">
        <is>
          <t>S05</t>
        </is>
      </c>
      <c r="F28" s="78" t="n">
        <v>6</v>
      </c>
      <c r="G28" s="72" t="n">
        <v>206.3643073553531</v>
      </c>
      <c r="H28" s="78" t="inlineStr">
        <is>
          <t>P05</t>
        </is>
      </c>
      <c r="I28" s="78" t="n">
        <v>6</v>
      </c>
      <c r="J28" s="72" t="n">
        <v>125.8615970320986</v>
      </c>
      <c r="K28" s="79">
        <f>G28-J28</f>
        <v/>
      </c>
      <c r="L28" s="80">
        <f>K28/G28</f>
        <v/>
      </c>
      <c r="M28" s="72" t="n">
        <v>724.2</v>
      </c>
      <c r="N28" s="72" t="n">
        <v>645.7</v>
      </c>
      <c r="O28" s="79">
        <f>M28-N28</f>
        <v/>
      </c>
      <c r="P28" s="80">
        <f>O28/M28</f>
        <v/>
      </c>
      <c r="Q28" s="72" t="n">
        <v>3122.2</v>
      </c>
      <c r="R28" s="72" t="n">
        <v>2750.7</v>
      </c>
      <c r="S28" s="79">
        <f>Q28-R28</f>
        <v/>
      </c>
      <c r="T28" s="80">
        <f>S28/Q28</f>
        <v/>
      </c>
      <c r="U28" s="79">
        <f>K28/10</f>
        <v/>
      </c>
      <c r="V28" s="83">
        <f>U28*31</f>
        <v/>
      </c>
      <c r="W28" s="79">
        <f>S28/60</f>
        <v/>
      </c>
      <c r="X28" s="83">
        <f>W28*200</f>
        <v/>
      </c>
      <c r="Y28" s="83">
        <f>V28+X28</f>
        <v/>
      </c>
    </row>
    <row r="29" ht="20" customHeight="1">
      <c r="B29" s="78" t="n">
        <v>6</v>
      </c>
      <c r="C29" s="78" t="inlineStr">
        <is>
          <t>平鎮</t>
        </is>
      </c>
      <c r="D29" s="78" t="inlineStr">
        <is>
          <t>平鎮6</t>
        </is>
      </c>
      <c r="E29" s="78" t="inlineStr">
        <is>
          <t>S06</t>
        </is>
      </c>
      <c r="F29" s="78" t="n">
        <v>6</v>
      </c>
      <c r="G29" s="72" t="n">
        <v>186.149290462504</v>
      </c>
      <c r="H29" s="78" t="inlineStr">
        <is>
          <t>P06</t>
        </is>
      </c>
      <c r="I29" s="78" t="n">
        <v>6</v>
      </c>
      <c r="J29" s="72" t="n">
        <v>117.6533405683889</v>
      </c>
      <c r="K29" s="79">
        <f>G29-J29</f>
        <v/>
      </c>
      <c r="L29" s="80">
        <f>K29/G29</f>
        <v/>
      </c>
      <c r="M29" s="72" t="n">
        <v>694.9000000000001</v>
      </c>
      <c r="N29" s="72" t="n">
        <v>653.26</v>
      </c>
      <c r="O29" s="79">
        <f>M29-N29</f>
        <v/>
      </c>
      <c r="P29" s="80">
        <f>O29/M29</f>
        <v/>
      </c>
      <c r="Q29" s="72" t="n">
        <v>3109.9</v>
      </c>
      <c r="R29" s="72" t="n">
        <v>2460.26</v>
      </c>
      <c r="S29" s="79">
        <f>Q29-R29</f>
        <v/>
      </c>
      <c r="T29" s="80">
        <f>S29/Q29</f>
        <v/>
      </c>
      <c r="U29" s="79">
        <f>K29/10</f>
        <v/>
      </c>
      <c r="V29" s="83">
        <f>U29*31</f>
        <v/>
      </c>
      <c r="W29" s="79">
        <f>S29/60</f>
        <v/>
      </c>
      <c r="X29" s="83">
        <f>W29*200</f>
        <v/>
      </c>
      <c r="Y29" s="83">
        <f>V29+X29</f>
        <v/>
      </c>
    </row>
    <row r="30" ht="20" customHeight="1">
      <c r="B30" s="78" t="n">
        <v>7</v>
      </c>
      <c r="C30" s="78" t="inlineStr">
        <is>
          <t>平鎮</t>
        </is>
      </c>
      <c r="D30" s="78" t="inlineStr">
        <is>
          <t>平鎮7</t>
        </is>
      </c>
      <c r="E30" s="78" t="inlineStr">
        <is>
          <t>S07</t>
        </is>
      </c>
      <c r="F30" s="78" t="n">
        <v>6</v>
      </c>
      <c r="G30" s="72" t="n">
        <v>191.5915546304555</v>
      </c>
      <c r="H30" s="78" t="inlineStr">
        <is>
          <t>P07</t>
        </is>
      </c>
      <c r="I30" s="78" t="n">
        <v>5</v>
      </c>
      <c r="J30" s="72" t="n">
        <v>110.6320400696029</v>
      </c>
      <c r="K30" s="79">
        <f>G30-J30</f>
        <v/>
      </c>
      <c r="L30" s="80">
        <f>K30/G30</f>
        <v/>
      </c>
      <c r="M30" s="72" t="n">
        <v>749.9</v>
      </c>
      <c r="N30" s="72" t="n">
        <v>569.9699999999999</v>
      </c>
      <c r="O30" s="79">
        <f>M30-N30</f>
        <v/>
      </c>
      <c r="P30" s="80">
        <f>O30/M30</f>
        <v/>
      </c>
      <c r="Q30" s="72" t="n">
        <v>3100.9</v>
      </c>
      <c r="R30" s="72" t="n">
        <v>2562.47</v>
      </c>
      <c r="S30" s="79">
        <f>Q30-R30</f>
        <v/>
      </c>
      <c r="T30" s="80">
        <f>S30/Q30</f>
        <v/>
      </c>
      <c r="U30" s="79">
        <f>K30/10</f>
        <v/>
      </c>
      <c r="V30" s="83">
        <f>U30*31</f>
        <v/>
      </c>
      <c r="W30" s="79">
        <f>S30/60</f>
        <v/>
      </c>
      <c r="X30" s="83">
        <f>W30*200</f>
        <v/>
      </c>
      <c r="Y30" s="83">
        <f>V30+X30</f>
        <v/>
      </c>
    </row>
    <row r="31" ht="20" customHeight="1">
      <c r="B31" s="78" t="n">
        <v>8</v>
      </c>
      <c r="C31" s="78" t="inlineStr">
        <is>
          <t>平鎮</t>
        </is>
      </c>
      <c r="D31" s="78" t="inlineStr">
        <is>
          <t>平鎮8</t>
        </is>
      </c>
      <c r="E31" s="78" t="inlineStr">
        <is>
          <t>S08</t>
        </is>
      </c>
      <c r="F31" s="78" t="n">
        <v>6</v>
      </c>
      <c r="G31" s="72" t="n">
        <v>306.9033094725613</v>
      </c>
      <c r="H31" s="78" t="inlineStr">
        <is>
          <t>P08</t>
        </is>
      </c>
      <c r="I31" s="78" t="n">
        <v>6</v>
      </c>
      <c r="J31" s="72" t="n">
        <v>134.6108739341971</v>
      </c>
      <c r="K31" s="79">
        <f>G31-J31</f>
        <v/>
      </c>
      <c r="L31" s="80">
        <f>K31/G31</f>
        <v/>
      </c>
      <c r="M31" s="72" t="n">
        <v>881.9</v>
      </c>
      <c r="N31" s="72" t="n">
        <v>618.61</v>
      </c>
      <c r="O31" s="79">
        <f>M31-N31</f>
        <v/>
      </c>
      <c r="P31" s="80">
        <f>O31/M31</f>
        <v/>
      </c>
      <c r="Q31" s="72" t="n">
        <v>2992.9</v>
      </c>
      <c r="R31" s="72" t="n">
        <v>2931.61</v>
      </c>
      <c r="S31" s="79">
        <f>Q31-R31</f>
        <v/>
      </c>
      <c r="T31" s="80">
        <f>S31/Q31</f>
        <v/>
      </c>
      <c r="U31" s="79">
        <f>K31/10</f>
        <v/>
      </c>
      <c r="V31" s="83">
        <f>U31*31</f>
        <v/>
      </c>
      <c r="W31" s="79">
        <f>S31/60</f>
        <v/>
      </c>
      <c r="X31" s="83">
        <f>W31*200</f>
        <v/>
      </c>
      <c r="Y31" s="83">
        <f>V31+X31</f>
        <v/>
      </c>
    </row>
    <row r="32" ht="20" customHeight="1">
      <c r="B32" s="78" t="n">
        <v>9</v>
      </c>
      <c r="C32" s="78" t="inlineStr">
        <is>
          <t>平鎮</t>
        </is>
      </c>
      <c r="D32" s="78" t="inlineStr">
        <is>
          <t>平鎮9</t>
        </is>
      </c>
      <c r="E32" s="78" t="inlineStr">
        <is>
          <t>S09</t>
        </is>
      </c>
      <c r="F32" s="78" t="n">
        <v>6</v>
      </c>
      <c r="G32" s="72" t="n">
        <v>227.5198904615212</v>
      </c>
      <c r="H32" s="78" t="inlineStr">
        <is>
          <t>P09</t>
        </is>
      </c>
      <c r="I32" s="78" t="n">
        <v>6</v>
      </c>
      <c r="J32" s="72" t="n">
        <v>140.5177923575481</v>
      </c>
      <c r="K32" s="79">
        <f>G32-J32</f>
        <v/>
      </c>
      <c r="L32" s="80">
        <f>K32/G32</f>
        <v/>
      </c>
      <c r="M32" s="72" t="n">
        <v>766.5</v>
      </c>
      <c r="N32" s="72" t="n">
        <v>739.0699999999999</v>
      </c>
      <c r="O32" s="79">
        <f>M32-N32</f>
        <v/>
      </c>
      <c r="P32" s="80">
        <f>O32/M32</f>
        <v/>
      </c>
      <c r="Q32" s="72" t="n">
        <v>2907</v>
      </c>
      <c r="R32" s="72" t="n">
        <v>2839.070000000001</v>
      </c>
      <c r="S32" s="79">
        <f>Q32-R32</f>
        <v/>
      </c>
      <c r="T32" s="80">
        <f>S32/Q32</f>
        <v/>
      </c>
      <c r="U32" s="79">
        <f>K32/10</f>
        <v/>
      </c>
      <c r="V32" s="83">
        <f>U32*31</f>
        <v/>
      </c>
      <c r="W32" s="79">
        <f>S32/60</f>
        <v/>
      </c>
      <c r="X32" s="83">
        <f>W32*200</f>
        <v/>
      </c>
      <c r="Y32" s="83">
        <f>V32+X32</f>
        <v/>
      </c>
    </row>
    <row r="33" ht="20" customHeight="1">
      <c r="B33" s="78" t="n">
        <v>10</v>
      </c>
      <c r="C33" s="78" t="inlineStr">
        <is>
          <t>平鎮</t>
        </is>
      </c>
      <c r="D33" s="78" t="inlineStr">
        <is>
          <t>平鎮10</t>
        </is>
      </c>
      <c r="E33" s="78" t="inlineStr">
        <is>
          <t>S10</t>
        </is>
      </c>
      <c r="F33" s="78" t="n">
        <v>6</v>
      </c>
      <c r="G33" s="72" t="n">
        <v>174.065281266855</v>
      </c>
      <c r="H33" s="78" t="inlineStr">
        <is>
          <t>P10</t>
        </is>
      </c>
      <c r="I33" s="78" t="n">
        <v>5</v>
      </c>
      <c r="J33" s="72" t="n">
        <v>97.60674900053642</v>
      </c>
      <c r="K33" s="79">
        <f>G33-J33</f>
        <v/>
      </c>
      <c r="L33" s="80">
        <f>K33/G33</f>
        <v/>
      </c>
      <c r="M33" s="72" t="n">
        <v>725.3999999999999</v>
      </c>
      <c r="N33" s="72" t="n">
        <v>495.07</v>
      </c>
      <c r="O33" s="79">
        <f>M33-N33</f>
        <v/>
      </c>
      <c r="P33" s="80">
        <f>O33/M33</f>
        <v/>
      </c>
      <c r="Q33" s="72" t="n">
        <v>2872.4</v>
      </c>
      <c r="R33" s="72" t="n">
        <v>2557.07</v>
      </c>
      <c r="S33" s="79">
        <f>Q33-R33</f>
        <v/>
      </c>
      <c r="T33" s="80">
        <f>S33/Q33</f>
        <v/>
      </c>
      <c r="U33" s="79">
        <f>K33/10</f>
        <v/>
      </c>
      <c r="V33" s="83">
        <f>U33*31</f>
        <v/>
      </c>
      <c r="W33" s="79">
        <f>S33/60</f>
        <v/>
      </c>
      <c r="X33" s="83">
        <f>W33*200</f>
        <v/>
      </c>
      <c r="Y33" s="83">
        <f>V33+X33</f>
        <v/>
      </c>
    </row>
    <row r="34" ht="20" customHeight="1">
      <c r="B34" s="78" t="n">
        <v>11</v>
      </c>
      <c r="C34" s="78" t="inlineStr">
        <is>
          <t>平鎮</t>
        </is>
      </c>
      <c r="D34" s="78" t="inlineStr">
        <is>
          <t>平鎮11</t>
        </is>
      </c>
      <c r="E34" s="78" t="inlineStr">
        <is>
          <t>S11</t>
        </is>
      </c>
      <c r="F34" s="78" t="n">
        <v>6</v>
      </c>
      <c r="G34" s="72" t="n">
        <v>169.0909274297548</v>
      </c>
      <c r="H34" s="78" t="inlineStr">
        <is>
          <t>P11</t>
        </is>
      </c>
      <c r="I34" s="78" t="n">
        <v>6</v>
      </c>
      <c r="J34" s="72" t="n">
        <v>117.288864868944</v>
      </c>
      <c r="K34" s="79">
        <f>G34-J34</f>
        <v/>
      </c>
      <c r="L34" s="80">
        <f>K34/G34</f>
        <v/>
      </c>
      <c r="M34" s="72" t="n">
        <v>725.9</v>
      </c>
      <c r="N34" s="72" t="n">
        <v>610.54</v>
      </c>
      <c r="O34" s="79">
        <f>M34-N34</f>
        <v/>
      </c>
      <c r="P34" s="80">
        <f>O34/M34</f>
        <v/>
      </c>
      <c r="Q34" s="72" t="n">
        <v>3063.9</v>
      </c>
      <c r="R34" s="72" t="n">
        <v>2999.54</v>
      </c>
      <c r="S34" s="79">
        <f>Q34-R34</f>
        <v/>
      </c>
      <c r="T34" s="80">
        <f>S34/Q34</f>
        <v/>
      </c>
      <c r="U34" s="79">
        <f>K34/10</f>
        <v/>
      </c>
      <c r="V34" s="83">
        <f>U34*31</f>
        <v/>
      </c>
      <c r="W34" s="79">
        <f>S34/60</f>
        <v/>
      </c>
      <c r="X34" s="83">
        <f>W34*200</f>
        <v/>
      </c>
      <c r="Y34" s="83">
        <f>V34+X34</f>
        <v/>
      </c>
    </row>
    <row r="35" ht="20" customHeight="1">
      <c r="B35" s="78" t="n">
        <v>12</v>
      </c>
      <c r="C35" s="78" t="inlineStr">
        <is>
          <t>平鎮</t>
        </is>
      </c>
      <c r="D35" s="78" t="inlineStr">
        <is>
          <t>平鎮12</t>
        </is>
      </c>
      <c r="E35" s="78" t="inlineStr">
        <is>
          <t>S12</t>
        </is>
      </c>
      <c r="F35" s="78" t="n">
        <v>6</v>
      </c>
      <c r="G35" s="72" t="n">
        <v>115.9763015014855</v>
      </c>
      <c r="H35" s="78" t="inlineStr">
        <is>
          <t>P12</t>
        </is>
      </c>
      <c r="I35" s="78" t="n">
        <v>5</v>
      </c>
      <c r="J35" s="72" t="n">
        <v>145.512049437754</v>
      </c>
      <c r="K35" s="81">
        <f>G35-J35</f>
        <v/>
      </c>
      <c r="L35" s="82">
        <f>K35/G35</f>
        <v/>
      </c>
      <c r="M35" s="72" t="n">
        <v>554.5999999999999</v>
      </c>
      <c r="N35" s="72" t="n">
        <v>716.28</v>
      </c>
      <c r="O35" s="81">
        <f>M35-N35</f>
        <v/>
      </c>
      <c r="P35" s="82">
        <f>O35/M35</f>
        <v/>
      </c>
      <c r="Q35" s="72" t="n">
        <v>3061.6</v>
      </c>
      <c r="R35" s="72" t="n">
        <v>2513.78</v>
      </c>
      <c r="S35" s="79">
        <f>Q35-R35</f>
        <v/>
      </c>
      <c r="T35" s="80">
        <f>S35/Q35</f>
        <v/>
      </c>
      <c r="U35" s="79">
        <f>K35/10</f>
        <v/>
      </c>
      <c r="V35" s="83">
        <f>U35*31</f>
        <v/>
      </c>
      <c r="W35" s="79">
        <f>S35/60</f>
        <v/>
      </c>
      <c r="X35" s="83">
        <f>W35*200</f>
        <v/>
      </c>
      <c r="Y35" s="83">
        <f>V35+X35</f>
        <v/>
      </c>
    </row>
    <row r="36" ht="20" customHeight="1">
      <c r="B36" s="78" t="n">
        <v>13</v>
      </c>
      <c r="C36" s="78" t="inlineStr">
        <is>
          <t>五股</t>
        </is>
      </c>
      <c r="D36" s="78" t="inlineStr">
        <is>
          <t>五股1</t>
        </is>
      </c>
      <c r="E36" s="78" t="inlineStr">
        <is>
          <t>S13</t>
        </is>
      </c>
      <c r="F36" s="78" t="n">
        <v>6</v>
      </c>
      <c r="G36" s="72" t="n">
        <v>169.5842952380542</v>
      </c>
      <c r="H36" s="78" t="inlineStr">
        <is>
          <t>W01</t>
        </is>
      </c>
      <c r="I36" s="78" t="n">
        <v>5</v>
      </c>
      <c r="J36" s="72" t="n">
        <v>103.6371092920079</v>
      </c>
      <c r="K36" s="79">
        <f>G36-J36</f>
        <v/>
      </c>
      <c r="L36" s="80">
        <f>K36/G36</f>
        <v/>
      </c>
      <c r="M36" s="72" t="n">
        <v>651.6</v>
      </c>
      <c r="N36" s="72" t="n">
        <v>476.66</v>
      </c>
      <c r="O36" s="79">
        <f>M36-N36</f>
        <v/>
      </c>
      <c r="P36" s="80">
        <f>O36/M36</f>
        <v/>
      </c>
      <c r="Q36" s="72" t="n">
        <v>2680.6</v>
      </c>
      <c r="R36" s="72" t="n">
        <v>1617.66</v>
      </c>
      <c r="S36" s="79">
        <f>Q36-R36</f>
        <v/>
      </c>
      <c r="T36" s="80">
        <f>S36/Q36</f>
        <v/>
      </c>
      <c r="U36" s="79">
        <f>K36/10</f>
        <v/>
      </c>
      <c r="V36" s="83">
        <f>U36*31</f>
        <v/>
      </c>
      <c r="W36" s="79">
        <f>S36/60</f>
        <v/>
      </c>
      <c r="X36" s="83">
        <f>W36*200</f>
        <v/>
      </c>
      <c r="Y36" s="83">
        <f>V36+X36</f>
        <v/>
      </c>
    </row>
    <row r="37" ht="20" customHeight="1">
      <c r="B37" s="78" t="n">
        <v>14</v>
      </c>
      <c r="C37" s="78" t="inlineStr">
        <is>
          <t>五股</t>
        </is>
      </c>
      <c r="D37" s="78" t="inlineStr">
        <is>
          <t>五股2</t>
        </is>
      </c>
      <c r="E37" s="78" t="inlineStr">
        <is>
          <t>S14</t>
        </is>
      </c>
      <c r="F37" s="78" t="n">
        <v>6</v>
      </c>
      <c r="G37" s="72" t="n">
        <v>187.0493453343402</v>
      </c>
      <c r="H37" s="78" t="inlineStr">
        <is>
          <t>W02</t>
        </is>
      </c>
      <c r="I37" s="78" t="n">
        <v>4</v>
      </c>
      <c r="J37" s="72" t="n">
        <v>144.6562267570767</v>
      </c>
      <c r="K37" s="79">
        <f>G37-J37</f>
        <v/>
      </c>
      <c r="L37" s="80">
        <f>K37/G37</f>
        <v/>
      </c>
      <c r="M37" s="72" t="n">
        <v>673.5</v>
      </c>
      <c r="N37" s="72" t="n">
        <v>438.86</v>
      </c>
      <c r="O37" s="79">
        <f>M37-N37</f>
        <v/>
      </c>
      <c r="P37" s="80">
        <f>O37/M37</f>
        <v/>
      </c>
      <c r="Q37" s="72" t="n">
        <v>2663.5</v>
      </c>
      <c r="R37" s="72" t="n">
        <v>1926.86</v>
      </c>
      <c r="S37" s="79">
        <f>Q37-R37</f>
        <v/>
      </c>
      <c r="T37" s="80">
        <f>S37/Q37</f>
        <v/>
      </c>
      <c r="U37" s="79">
        <f>K37/10</f>
        <v/>
      </c>
      <c r="V37" s="83">
        <f>U37*31</f>
        <v/>
      </c>
      <c r="W37" s="79">
        <f>S37/60</f>
        <v/>
      </c>
      <c r="X37" s="83">
        <f>W37*200</f>
        <v/>
      </c>
      <c r="Y37" s="83">
        <f>V37+X37</f>
        <v/>
      </c>
    </row>
    <row r="38" ht="22" customHeight="1">
      <c r="B38" s="84" t="n"/>
      <c r="C38" s="85" t="inlineStr">
        <is>
          <t>總計</t>
        </is>
      </c>
      <c r="D38" s="84" t="n"/>
      <c r="E38" s="84" t="n"/>
      <c r="F38" s="85">
        <f>SUM(F24:F37)</f>
        <v/>
      </c>
      <c r="G38" s="86">
        <f>SUM(G24:G37)</f>
        <v/>
      </c>
      <c r="H38" s="84" t="n"/>
      <c r="I38" s="85">
        <f>SUM(I24:I37)</f>
        <v/>
      </c>
      <c r="J38" s="86">
        <f>SUM(J24:J37)</f>
        <v/>
      </c>
      <c r="K38" s="86">
        <f>G38-J38</f>
        <v/>
      </c>
      <c r="L38" s="87">
        <f>K38/G38</f>
        <v/>
      </c>
      <c r="M38" s="86">
        <f>SUM(M24:M37)</f>
        <v/>
      </c>
      <c r="N38" s="86">
        <f>SUM(N24:N37)</f>
        <v/>
      </c>
      <c r="O38" s="86">
        <f>M38-N38</f>
        <v/>
      </c>
      <c r="P38" s="87">
        <f>O38/M38</f>
        <v/>
      </c>
      <c r="Q38" s="86">
        <f>SUM(Q24:Q37)</f>
        <v/>
      </c>
      <c r="R38" s="86">
        <f>SUM(R24:R37)</f>
        <v/>
      </c>
      <c r="S38" s="86">
        <f>Q38-R38</f>
        <v/>
      </c>
      <c r="T38" s="87">
        <f>S38/Q38</f>
        <v/>
      </c>
      <c r="U38" s="86">
        <f>SUM(U24:U37)</f>
        <v/>
      </c>
      <c r="V38" s="88">
        <f>SUM(V24:V37)</f>
        <v/>
      </c>
      <c r="W38" s="86">
        <f>SUM(W24:W37)</f>
        <v/>
      </c>
      <c r="X38" s="88">
        <f>SUM(X24:X37)</f>
        <v/>
      </c>
      <c r="Y38" s="89">
        <f>SUM(Y24:Y37)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2026-06-04T06:43:02Z</dcterms:created>
  <dcterms:modified xmlns:dcterms="http://purl.org/dc/terms/" xmlns:xsi="http://www.w3.org/2001/XMLSchema-instance" xsi:type="dcterms:W3CDTF">2026-07-17T03:05:20Z</dcterms:modified>
  <cp:lastModifiedBy>v41224v@gmail.com</cp:lastModifiedBy>
</cp:coreProperties>
</file>